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E151A1-8E52-463F-B9CC-9D0E1189AF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체 프로젝트" sheetId="17" r:id="rId1"/>
  </sheets>
  <definedNames>
    <definedName name="_xlnm._FilterDatabase" localSheetId="0" hidden="1">'전체 프로젝트'!$A$2:$BL$212</definedName>
    <definedName name="_xlnm.Print_Area" localSheetId="0">'전체 프로젝트'!$A$2:$BL$67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76" i="17" l="1"/>
  <c r="AM6" i="17"/>
  <c r="H79" i="17" l="1"/>
  <c r="H45" i="17"/>
  <c r="H28" i="17"/>
  <c r="BK167" i="17" l="1"/>
  <c r="BJ167" i="17"/>
  <c r="BI167" i="17"/>
  <c r="BH167" i="17"/>
  <c r="BG167" i="17"/>
  <c r="AR167" i="17"/>
  <c r="BK193" i="17"/>
  <c r="BI193" i="17"/>
  <c r="BG193" i="17"/>
  <c r="AR193" i="17"/>
  <c r="BK192" i="17"/>
  <c r="BJ192" i="17"/>
  <c r="BI192" i="17"/>
  <c r="BH192" i="17"/>
  <c r="BG192" i="17"/>
  <c r="AR192" i="17"/>
  <c r="BK212" i="17"/>
  <c r="BJ212" i="17"/>
  <c r="BI212" i="17"/>
  <c r="BG212" i="17"/>
  <c r="AR212" i="17"/>
  <c r="BK206" i="17"/>
  <c r="BJ206" i="17"/>
  <c r="BI206" i="17"/>
  <c r="BG206" i="17"/>
  <c r="AR206" i="17"/>
  <c r="BK210" i="17"/>
  <c r="BJ210" i="17"/>
  <c r="BI210" i="17"/>
  <c r="BH210" i="17"/>
  <c r="BG210" i="17"/>
  <c r="AR210" i="17"/>
  <c r="BK207" i="17"/>
  <c r="BJ207" i="17"/>
  <c r="BI207" i="17"/>
  <c r="BH207" i="17"/>
  <c r="BG207" i="17"/>
  <c r="AR207" i="17"/>
  <c r="BK201" i="17"/>
  <c r="BJ201" i="17"/>
  <c r="BI201" i="17"/>
  <c r="BH201" i="17"/>
  <c r="BG201" i="17"/>
  <c r="AR201" i="17"/>
  <c r="BI200" i="17"/>
  <c r="BH200" i="17"/>
  <c r="BG200" i="17"/>
  <c r="AR200" i="17"/>
  <c r="BK197" i="17"/>
  <c r="BJ197" i="17"/>
  <c r="BI197" i="17"/>
  <c r="BH197" i="17"/>
  <c r="BG197" i="17"/>
  <c r="AR197" i="17"/>
  <c r="BK196" i="17"/>
  <c r="BJ196" i="17"/>
  <c r="BI196" i="17"/>
  <c r="BG196" i="17"/>
  <c r="AR196" i="17"/>
  <c r="BK189" i="17"/>
  <c r="BJ189" i="17"/>
  <c r="BI189" i="17"/>
  <c r="BH189" i="17"/>
  <c r="BG189" i="17"/>
  <c r="AR189" i="17"/>
  <c r="BK176" i="17"/>
  <c r="BJ176" i="17"/>
  <c r="BI176" i="17"/>
  <c r="BH176" i="17"/>
  <c r="BG176" i="17"/>
  <c r="AR176" i="17"/>
  <c r="BK175" i="17"/>
  <c r="BJ175" i="17"/>
  <c r="BI175" i="17"/>
  <c r="BH175" i="17"/>
  <c r="BG175" i="17"/>
  <c r="AR175" i="17"/>
  <c r="BK174" i="17"/>
  <c r="BJ174" i="17"/>
  <c r="BI174" i="17"/>
  <c r="BH174" i="17"/>
  <c r="BG174" i="17"/>
  <c r="AR174" i="17"/>
  <c r="BJ208" i="17"/>
  <c r="BI208" i="17"/>
  <c r="AR208" i="17"/>
  <c r="BK209" i="17"/>
  <c r="BJ209" i="17"/>
  <c r="BI209" i="17"/>
  <c r="BG209" i="17"/>
  <c r="AR209" i="17"/>
  <c r="BK204" i="17"/>
  <c r="BJ204" i="17"/>
  <c r="BI204" i="17"/>
  <c r="BG204" i="17"/>
  <c r="AR204" i="17"/>
  <c r="BK203" i="17"/>
  <c r="BJ203" i="17"/>
  <c r="BI203" i="17"/>
  <c r="BG203" i="17"/>
  <c r="AR203" i="17"/>
  <c r="AR202" i="17"/>
  <c r="AR199" i="17"/>
  <c r="BK198" i="17"/>
  <c r="BJ198" i="17"/>
  <c r="AR198" i="17"/>
  <c r="BK151" i="17"/>
  <c r="BJ151" i="17"/>
  <c r="BI151" i="17"/>
  <c r="BG151" i="17"/>
  <c r="AR151" i="17"/>
  <c r="BK139" i="17"/>
  <c r="BJ139" i="17"/>
  <c r="BI139" i="17"/>
  <c r="BG139" i="17"/>
  <c r="AL139" i="17"/>
  <c r="AR139" i="17" s="1"/>
  <c r="BK205" i="17"/>
  <c r="BJ205" i="17"/>
  <c r="BI205" i="17"/>
  <c r="BG205" i="17"/>
  <c r="AR205" i="17"/>
  <c r="BK187" i="17"/>
  <c r="BJ187" i="17"/>
  <c r="BI187" i="17"/>
  <c r="BG187" i="17"/>
  <c r="AR187" i="17"/>
  <c r="AR186" i="17"/>
  <c r="BK211" i="17"/>
  <c r="BJ211" i="17"/>
  <c r="BI211" i="17"/>
  <c r="BG211" i="17"/>
  <c r="AR211" i="17"/>
  <c r="BK191" i="17"/>
  <c r="BJ191" i="17"/>
  <c r="BI191" i="17"/>
  <c r="BG191" i="17"/>
  <c r="AR191" i="17"/>
  <c r="BK190" i="17"/>
  <c r="BJ190" i="17"/>
  <c r="BI190" i="17"/>
  <c r="BH190" i="17"/>
  <c r="BG190" i="17"/>
  <c r="AR190" i="17"/>
  <c r="AR150" i="17"/>
  <c r="BK188" i="17"/>
  <c r="BJ188" i="17"/>
  <c r="BI188" i="17"/>
  <c r="BH188" i="17"/>
  <c r="BG188" i="17"/>
  <c r="AR188" i="17"/>
  <c r="BK182" i="17"/>
  <c r="BJ182" i="17"/>
  <c r="BI182" i="17"/>
  <c r="BH182" i="17"/>
  <c r="BG182" i="17"/>
  <c r="AR182" i="17"/>
  <c r="AR180" i="17"/>
  <c r="AR178" i="17"/>
  <c r="BK173" i="17"/>
  <c r="BJ173" i="17"/>
  <c r="BI173" i="17"/>
  <c r="BH173" i="17"/>
  <c r="AR173" i="17"/>
  <c r="BK170" i="17"/>
  <c r="BJ170" i="17"/>
  <c r="BI170" i="17"/>
  <c r="BH170" i="17"/>
  <c r="BG170" i="17"/>
  <c r="AR170" i="17"/>
  <c r="BK166" i="17"/>
  <c r="AL166" i="17"/>
  <c r="AR166" i="17" s="1"/>
  <c r="BK161" i="17"/>
  <c r="BJ161" i="17"/>
  <c r="BI161" i="17"/>
  <c r="BH161" i="17"/>
  <c r="AR161" i="17"/>
  <c r="BK156" i="17"/>
  <c r="BJ156" i="17"/>
  <c r="BI156" i="17"/>
  <c r="BH156" i="17"/>
  <c r="BG156" i="17"/>
  <c r="AR156" i="17"/>
  <c r="AR154" i="17"/>
  <c r="AR137" i="17"/>
  <c r="AR135" i="17"/>
  <c r="AR195" i="17"/>
  <c r="AR181" i="17"/>
  <c r="BK177" i="17"/>
  <c r="BJ177" i="17"/>
  <c r="BI177" i="17"/>
  <c r="BG177" i="17"/>
  <c r="BF177" i="17"/>
  <c r="AR177" i="17"/>
  <c r="BK172" i="17"/>
  <c r="BJ172" i="17"/>
  <c r="AR172" i="17"/>
  <c r="BK171" i="17"/>
  <c r="BJ171" i="17"/>
  <c r="AR171" i="17"/>
  <c r="BK168" i="17"/>
  <c r="BJ168" i="17"/>
  <c r="AR168" i="17"/>
  <c r="BK165" i="17"/>
  <c r="AR165" i="17"/>
  <c r="BK164" i="17"/>
  <c r="BJ164" i="17"/>
  <c r="BI164" i="17"/>
  <c r="AR164" i="17"/>
  <c r="BK159" i="17"/>
  <c r="BJ159" i="17"/>
  <c r="BG159" i="17"/>
  <c r="AR159" i="17"/>
  <c r="AR155" i="17"/>
  <c r="AR147" i="17"/>
  <c r="BC146" i="17"/>
  <c r="AL146" i="17"/>
  <c r="AR146" i="17" s="1"/>
  <c r="AR141" i="17"/>
  <c r="AR194" i="17"/>
  <c r="BK183" i="17"/>
  <c r="BJ183" i="17"/>
  <c r="BI183" i="17"/>
  <c r="BG183" i="17"/>
  <c r="AR183" i="17"/>
  <c r="AR169" i="17"/>
  <c r="AR138" i="17"/>
  <c r="BK185" i="17"/>
  <c r="BJ185" i="17"/>
  <c r="BI185" i="17"/>
  <c r="BG185" i="17"/>
  <c r="BF185" i="17"/>
  <c r="AR185" i="17"/>
  <c r="AR152" i="17"/>
  <c r="AR136" i="17"/>
  <c r="AR153" i="17"/>
  <c r="AR184" i="17"/>
  <c r="BK179" i="17"/>
  <c r="BJ179" i="17"/>
  <c r="BI179" i="17"/>
  <c r="BG179" i="17"/>
  <c r="AR179" i="17"/>
  <c r="AR163" i="17"/>
  <c r="BK160" i="17"/>
  <c r="BJ160" i="17"/>
  <c r="BI160" i="17"/>
  <c r="BG160" i="17"/>
  <c r="AR160" i="17"/>
  <c r="AR158" i="17"/>
  <c r="AR157" i="17"/>
  <c r="AR148" i="17"/>
  <c r="AR143" i="17"/>
  <c r="AR142" i="17"/>
  <c r="AL162" i="17"/>
  <c r="AR162" i="17" s="1"/>
  <c r="AR134" i="17"/>
  <c r="AR144" i="17"/>
  <c r="AR140" i="17"/>
  <c r="BK124" i="17"/>
  <c r="BI124" i="17"/>
  <c r="BH124" i="17"/>
  <c r="BG124" i="17"/>
  <c r="BF124" i="17"/>
  <c r="BE124" i="17"/>
  <c r="AR124" i="17"/>
  <c r="BK131" i="17"/>
  <c r="BJ131" i="17"/>
  <c r="BI131" i="17"/>
  <c r="BG131" i="17"/>
  <c r="AR131" i="17"/>
  <c r="AR129" i="17"/>
  <c r="BK125" i="17"/>
  <c r="BJ125" i="17"/>
  <c r="BI125" i="17"/>
  <c r="BG125" i="17"/>
  <c r="AR125" i="17"/>
  <c r="BK123" i="17"/>
  <c r="BJ123" i="17"/>
  <c r="BI123" i="17"/>
  <c r="BF123" i="17"/>
  <c r="BE123" i="17"/>
  <c r="AR123" i="17"/>
  <c r="AR133" i="17"/>
  <c r="AR149" i="17"/>
  <c r="BI128" i="17"/>
  <c r="BG128" i="17"/>
  <c r="BE128" i="17"/>
  <c r="AR128" i="17"/>
  <c r="BK126" i="17"/>
  <c r="BJ126" i="17"/>
  <c r="BI126" i="17"/>
  <c r="BG126" i="17"/>
  <c r="BE126" i="17"/>
  <c r="AR126" i="17"/>
  <c r="AR145" i="17"/>
  <c r="BK132" i="17"/>
  <c r="BJ132" i="17"/>
  <c r="BE132" i="17"/>
  <c r="AR132" i="17"/>
  <c r="AR130" i="17"/>
  <c r="AY127" i="17"/>
  <c r="AL127" i="17"/>
  <c r="AR127" i="17" s="1"/>
  <c r="BJ120" i="17"/>
  <c r="BI120" i="17"/>
  <c r="BG120" i="17"/>
  <c r="BE120" i="17"/>
  <c r="AR120" i="17"/>
  <c r="AR111" i="17"/>
  <c r="BI110" i="17"/>
  <c r="BG110" i="17"/>
  <c r="BE110" i="17"/>
  <c r="AR110" i="17"/>
  <c r="BJ119" i="17"/>
  <c r="BI119" i="17"/>
  <c r="BG119" i="17"/>
  <c r="AR119" i="17"/>
  <c r="AR116" i="17"/>
  <c r="AR122" i="17"/>
  <c r="BK121" i="17"/>
  <c r="BJ121" i="17"/>
  <c r="BI121" i="17"/>
  <c r="BG121" i="17"/>
  <c r="BE121" i="17"/>
  <c r="AR121" i="17"/>
  <c r="AR114" i="17"/>
  <c r="AR113" i="17"/>
  <c r="AR118" i="17"/>
  <c r="AR117" i="17"/>
  <c r="AR112" i="17"/>
  <c r="AR108" i="17"/>
  <c r="BK115" i="17"/>
  <c r="BJ115" i="17"/>
  <c r="BI115" i="17"/>
  <c r="BE115" i="17"/>
  <c r="AR115" i="17"/>
  <c r="BC109" i="17"/>
  <c r="BB109" i="17"/>
  <c r="AP109" i="17"/>
  <c r="AM109" i="17"/>
  <c r="AR101" i="17"/>
  <c r="AL100" i="17"/>
  <c r="AR100" i="17" s="1"/>
  <c r="AR98" i="17"/>
  <c r="BK88" i="17"/>
  <c r="BJ88" i="17"/>
  <c r="BI88" i="17"/>
  <c r="BG88" i="17"/>
  <c r="BF88" i="17"/>
  <c r="BE88" i="17"/>
  <c r="AR88" i="17"/>
  <c r="AR84" i="17"/>
  <c r="AR83" i="17"/>
  <c r="AR103" i="17"/>
  <c r="AR94" i="17"/>
  <c r="AR93" i="17"/>
  <c r="AR86" i="17"/>
  <c r="AR85" i="17"/>
  <c r="AR91" i="17"/>
  <c r="BC106" i="17"/>
  <c r="BB106" i="17"/>
  <c r="AT106" i="17"/>
  <c r="AM106" i="17"/>
  <c r="AL106" i="17" s="1"/>
  <c r="AR106" i="17" s="1"/>
  <c r="BC105" i="17"/>
  <c r="BB105" i="17"/>
  <c r="AM105" i="17"/>
  <c r="AL105" i="17" s="1"/>
  <c r="AR105" i="17" s="1"/>
  <c r="AR104" i="17"/>
  <c r="BE102" i="17"/>
  <c r="BC102" i="17"/>
  <c r="BB102" i="17"/>
  <c r="AQ102" i="17"/>
  <c r="AP102" i="17"/>
  <c r="AM102" i="17"/>
  <c r="BC97" i="17"/>
  <c r="BB97" i="17"/>
  <c r="AM97" i="17"/>
  <c r="AL97" i="17" s="1"/>
  <c r="AR97" i="17" s="1"/>
  <c r="BB96" i="17"/>
  <c r="AL96" i="17"/>
  <c r="AR96" i="17" s="1"/>
  <c r="BK92" i="17"/>
  <c r="BJ92" i="17"/>
  <c r="BI92" i="17"/>
  <c r="BG92" i="17"/>
  <c r="BE92" i="17"/>
  <c r="BC92" i="17"/>
  <c r="BB92" i="17"/>
  <c r="AM92" i="17"/>
  <c r="AL92" i="17" s="1"/>
  <c r="AR92" i="17" s="1"/>
  <c r="BJ87" i="17"/>
  <c r="BI87" i="17"/>
  <c r="BG87" i="17"/>
  <c r="BE87" i="17"/>
  <c r="BC87" i="17"/>
  <c r="BB87" i="17"/>
  <c r="AM87" i="17"/>
  <c r="AL87" i="17" s="1"/>
  <c r="AR87" i="17" s="1"/>
  <c r="BE80" i="17"/>
  <c r="BC80" i="17"/>
  <c r="BB80" i="17"/>
  <c r="AM80" i="17"/>
  <c r="AL80" i="17" s="1"/>
  <c r="AR80" i="17" s="1"/>
  <c r="BC79" i="17"/>
  <c r="BB79" i="17"/>
  <c r="AL79" i="17"/>
  <c r="AR79" i="17" s="1"/>
  <c r="BK81" i="17"/>
  <c r="BJ81" i="17"/>
  <c r="BI81" i="17"/>
  <c r="BG81" i="17"/>
  <c r="BF81" i="17"/>
  <c r="BC81" i="17"/>
  <c r="BB81" i="17"/>
  <c r="AM81" i="17"/>
  <c r="AL81" i="17"/>
  <c r="AR81" i="17" s="1"/>
  <c r="BC78" i="17"/>
  <c r="BB78" i="17"/>
  <c r="AL78" i="17"/>
  <c r="AR78" i="17" s="1"/>
  <c r="AQ95" i="17"/>
  <c r="AP95" i="17"/>
  <c r="AM95" i="17"/>
  <c r="BC90" i="17"/>
  <c r="BB90" i="17"/>
  <c r="AQ90" i="17"/>
  <c r="AP90" i="17"/>
  <c r="AM90" i="17"/>
  <c r="AL89" i="17"/>
  <c r="AR89" i="17" s="1"/>
  <c r="BC82" i="17"/>
  <c r="BB82" i="17"/>
  <c r="AM82" i="17"/>
  <c r="AL82" i="17" s="1"/>
  <c r="AR82" i="17" s="1"/>
  <c r="AL107" i="17"/>
  <c r="AR107" i="17" s="1"/>
  <c r="AR99" i="17"/>
  <c r="BC66" i="17"/>
  <c r="BB66" i="17"/>
  <c r="AO66" i="17"/>
  <c r="AL66" i="17" s="1"/>
  <c r="AR66" i="17" s="1"/>
  <c r="BB72" i="17"/>
  <c r="AQ72" i="17"/>
  <c r="AP72" i="17"/>
  <c r="AM72" i="17"/>
  <c r="BK68" i="17"/>
  <c r="BI68" i="17"/>
  <c r="BC68" i="17"/>
  <c r="BB68" i="17"/>
  <c r="AL68" i="17"/>
  <c r="AR68" i="17" s="1"/>
  <c r="BC76" i="17"/>
  <c r="AM76" i="17"/>
  <c r="AL76" i="17" s="1"/>
  <c r="AR76" i="17" s="1"/>
  <c r="BC73" i="17"/>
  <c r="BB73" i="17"/>
  <c r="AL73" i="17"/>
  <c r="AR73" i="17" s="1"/>
  <c r="BC71" i="17"/>
  <c r="BB71" i="17"/>
  <c r="AM71" i="17"/>
  <c r="AL71" i="17" s="1"/>
  <c r="AR71" i="17" s="1"/>
  <c r="BC67" i="17"/>
  <c r="BB67" i="17"/>
  <c r="AR67" i="17"/>
  <c r="BC74" i="17"/>
  <c r="BB74" i="17"/>
  <c r="AM74" i="17"/>
  <c r="AL74" i="17" s="1"/>
  <c r="AR74" i="17" s="1"/>
  <c r="AL70" i="17"/>
  <c r="AR70" i="17" s="1"/>
  <c r="BB77" i="17"/>
  <c r="AQ77" i="17"/>
  <c r="AL77" i="17" s="1"/>
  <c r="AR77" i="17" s="1"/>
  <c r="BB69" i="17"/>
  <c r="AM69" i="17"/>
  <c r="AL69" i="17" s="1"/>
  <c r="AR69" i="17" s="1"/>
  <c r="BC75" i="17"/>
  <c r="BB75" i="17"/>
  <c r="AL75" i="17"/>
  <c r="AR75" i="17" s="1"/>
  <c r="AM61" i="17"/>
  <c r="AL61" i="17" s="1"/>
  <c r="AR61" i="17" s="1"/>
  <c r="BC55" i="17"/>
  <c r="BB55" i="17"/>
  <c r="AO55" i="17"/>
  <c r="AM55" i="17"/>
  <c r="BK65" i="17"/>
  <c r="BJ65" i="17"/>
  <c r="BI65" i="17"/>
  <c r="BG65" i="17"/>
  <c r="BB65" i="17"/>
  <c r="AM65" i="17"/>
  <c r="AL65" i="17" s="1"/>
  <c r="AR65" i="17" s="1"/>
  <c r="BC63" i="17"/>
  <c r="BB63" i="17"/>
  <c r="AL63" i="17"/>
  <c r="AR63" i="17" s="1"/>
  <c r="BB60" i="17"/>
  <c r="AR60" i="17"/>
  <c r="BB59" i="17"/>
  <c r="AL59" i="17"/>
  <c r="AR59" i="17" s="1"/>
  <c r="BC58" i="17"/>
  <c r="BB58" i="17"/>
  <c r="AR58" i="17"/>
  <c r="BB57" i="17"/>
  <c r="AL57" i="17"/>
  <c r="AR57" i="17" s="1"/>
  <c r="BE50" i="17"/>
  <c r="BB50" i="17"/>
  <c r="AL50" i="17"/>
  <c r="AR50" i="17" s="1"/>
  <c r="BK53" i="17"/>
  <c r="BJ53" i="17"/>
  <c r="BI53" i="17"/>
  <c r="BF53" i="17"/>
  <c r="BE53" i="17"/>
  <c r="AR53" i="17"/>
  <c r="BE51" i="17"/>
  <c r="BC51" i="17"/>
  <c r="BB51" i="17"/>
  <c r="AL51" i="17"/>
  <c r="AR51" i="17" s="1"/>
  <c r="BB56" i="17"/>
  <c r="AQ56" i="17"/>
  <c r="AP56" i="17"/>
  <c r="AM56" i="17"/>
  <c r="BC64" i="17"/>
  <c r="BB64" i="17"/>
  <c r="AL64" i="17"/>
  <c r="AR64" i="17" s="1"/>
  <c r="BI54" i="17"/>
  <c r="BG54" i="17"/>
  <c r="BE54" i="17"/>
  <c r="AL54" i="17"/>
  <c r="AR54" i="17" s="1"/>
  <c r="AL52" i="17"/>
  <c r="AR52" i="17" s="1"/>
  <c r="BB62" i="17"/>
  <c r="AM62" i="17"/>
  <c r="AL62" i="17" s="1"/>
  <c r="AR62" i="17" s="1"/>
  <c r="BK48" i="17"/>
  <c r="BJ48" i="17"/>
  <c r="BI48" i="17"/>
  <c r="BG48" i="17"/>
  <c r="BC48" i="17"/>
  <c r="BB48" i="17"/>
  <c r="AM48" i="17"/>
  <c r="AL48" i="17" s="1"/>
  <c r="AR48" i="17" s="1"/>
  <c r="BJ45" i="17"/>
  <c r="BI45" i="17"/>
  <c r="BH45" i="17"/>
  <c r="BE45" i="17"/>
  <c r="BC45" i="17"/>
  <c r="BB45" i="17"/>
  <c r="AP45" i="17"/>
  <c r="AM45" i="17"/>
  <c r="BC49" i="17"/>
  <c r="BB49" i="17"/>
  <c r="AP49" i="17"/>
  <c r="AO49" i="17"/>
  <c r="AM49" i="17"/>
  <c r="BI46" i="17"/>
  <c r="BB46" i="17"/>
  <c r="AM46" i="17"/>
  <c r="AL46" i="17" s="1"/>
  <c r="AR46" i="17" s="1"/>
  <c r="BK42" i="17"/>
  <c r="BJ42" i="17"/>
  <c r="BI42" i="17"/>
  <c r="BG42" i="17"/>
  <c r="BF42" i="17"/>
  <c r="BE42" i="17"/>
  <c r="BC42" i="17"/>
  <c r="BB42" i="17"/>
  <c r="AL42" i="17"/>
  <c r="AR42" i="17" s="1"/>
  <c r="BC41" i="17"/>
  <c r="BB41" i="17"/>
  <c r="AL41" i="17"/>
  <c r="AR41" i="17" s="1"/>
  <c r="BC40" i="17"/>
  <c r="AP40" i="17"/>
  <c r="AM40" i="17"/>
  <c r="BC47" i="17"/>
  <c r="BB47" i="17"/>
  <c r="AQ47" i="17"/>
  <c r="AP47" i="17"/>
  <c r="AO47" i="17"/>
  <c r="AM47" i="17"/>
  <c r="BC44" i="17"/>
  <c r="BB44" i="17"/>
  <c r="AL44" i="17"/>
  <c r="AR44" i="17" s="1"/>
  <c r="AL43" i="17"/>
  <c r="AR43" i="17" s="1"/>
  <c r="BK35" i="17"/>
  <c r="BJ35" i="17"/>
  <c r="BI35" i="17"/>
  <c r="BG35" i="17"/>
  <c r="BE35" i="17"/>
  <c r="BC35" i="17"/>
  <c r="BB35" i="17"/>
  <c r="AL35" i="17"/>
  <c r="AR35" i="17" s="1"/>
  <c r="BK38" i="17"/>
  <c r="BJ38" i="17"/>
  <c r="BI38" i="17"/>
  <c r="BG38" i="17"/>
  <c r="BE38" i="17"/>
  <c r="AL38" i="17"/>
  <c r="AR38" i="17" s="1"/>
  <c r="BK36" i="17"/>
  <c r="BJ36" i="17"/>
  <c r="BI36" i="17"/>
  <c r="BH36" i="17"/>
  <c r="BG36" i="17"/>
  <c r="BE36" i="17"/>
  <c r="BC36" i="17"/>
  <c r="BB36" i="17"/>
  <c r="BA36" i="17"/>
  <c r="AM36" i="17"/>
  <c r="AL36" i="17" s="1"/>
  <c r="AR36" i="17" s="1"/>
  <c r="BK34" i="17"/>
  <c r="BJ34" i="17"/>
  <c r="BI34" i="17"/>
  <c r="BG34" i="17"/>
  <c r="BF34" i="17"/>
  <c r="BE34" i="17"/>
  <c r="BC34" i="17"/>
  <c r="BB34" i="17"/>
  <c r="AS34" i="17"/>
  <c r="AM34" i="17"/>
  <c r="AL34" i="17" s="1"/>
  <c r="AR34" i="17" s="1"/>
  <c r="BI39" i="17"/>
  <c r="BE39" i="17"/>
  <c r="BC39" i="17"/>
  <c r="BB39" i="17"/>
  <c r="AM39" i="17"/>
  <c r="AL39" i="17" s="1"/>
  <c r="AR39" i="17" s="1"/>
  <c r="BK33" i="17"/>
  <c r="BJ33" i="17"/>
  <c r="BI33" i="17"/>
  <c r="BG33" i="17"/>
  <c r="BC33" i="17"/>
  <c r="BB33" i="17"/>
  <c r="AW33" i="17"/>
  <c r="AS33" i="17"/>
  <c r="AL33" i="17"/>
  <c r="AR33" i="17" s="1"/>
  <c r="BC37" i="17"/>
  <c r="BB37" i="17"/>
  <c r="AX37" i="17"/>
  <c r="AL37" i="17"/>
  <c r="AR37" i="17" s="1"/>
  <c r="BH28" i="17"/>
  <c r="AP28" i="17"/>
  <c r="AO28" i="17"/>
  <c r="AM28" i="17"/>
  <c r="BJ26" i="17"/>
  <c r="BI26" i="17"/>
  <c r="BH26" i="17"/>
  <c r="BG26" i="17"/>
  <c r="BC26" i="17"/>
  <c r="BB26" i="17"/>
  <c r="BA26" i="17"/>
  <c r="AM26" i="17"/>
  <c r="AL26" i="17" s="1"/>
  <c r="AR26" i="17" s="1"/>
  <c r="AQ30" i="17"/>
  <c r="AL30" i="17" s="1"/>
  <c r="AR30" i="17" s="1"/>
  <c r="BK27" i="17"/>
  <c r="BJ27" i="17"/>
  <c r="BI27" i="17"/>
  <c r="BG27" i="17"/>
  <c r="AL27" i="17"/>
  <c r="AR27" i="17" s="1"/>
  <c r="BC25" i="17"/>
  <c r="BB25" i="17"/>
  <c r="AL25" i="17"/>
  <c r="AR25" i="17" s="1"/>
  <c r="BC32" i="17"/>
  <c r="BB32" i="17"/>
  <c r="AL32" i="17"/>
  <c r="AR32" i="17" s="1"/>
  <c r="BK29" i="17"/>
  <c r="BJ29" i="17"/>
  <c r="BI29" i="17"/>
  <c r="BG29" i="17"/>
  <c r="BF29" i="17"/>
  <c r="BE31" i="17"/>
  <c r="BC31" i="17"/>
  <c r="BB31" i="17"/>
  <c r="AM31" i="17"/>
  <c r="AL31" i="17" s="1"/>
  <c r="AR31" i="17" s="1"/>
  <c r="BK23" i="17"/>
  <c r="BJ23" i="17"/>
  <c r="BI23" i="17"/>
  <c r="BG23" i="17"/>
  <c r="BC23" i="17"/>
  <c r="BB23" i="17"/>
  <c r="AL23" i="17"/>
  <c r="AR23" i="17" s="1"/>
  <c r="BK22" i="17"/>
  <c r="BJ22" i="17"/>
  <c r="BI22" i="17"/>
  <c r="BG22" i="17"/>
  <c r="BC22" i="17"/>
  <c r="BB22" i="17"/>
  <c r="AP22" i="17"/>
  <c r="AL22" i="17" s="1"/>
  <c r="AR22" i="17" s="1"/>
  <c r="BK20" i="17"/>
  <c r="BJ20" i="17"/>
  <c r="BI20" i="17"/>
  <c r="BG20" i="17"/>
  <c r="BF20" i="17"/>
  <c r="BC20" i="17"/>
  <c r="BB20" i="17"/>
  <c r="AW20" i="17"/>
  <c r="AP20" i="17"/>
  <c r="AO20" i="17"/>
  <c r="AN20" i="17"/>
  <c r="BK19" i="17"/>
  <c r="BJ19" i="17"/>
  <c r="BI19" i="17"/>
  <c r="BG19" i="17"/>
  <c r="BC19" i="17"/>
  <c r="AP19" i="17"/>
  <c r="AL19" i="17" s="1"/>
  <c r="AR19" i="17" s="1"/>
  <c r="AL24" i="17"/>
  <c r="AR24" i="17" s="1"/>
  <c r="BB21" i="17"/>
  <c r="AP21" i="17"/>
  <c r="AL21" i="17" s="1"/>
  <c r="AR21" i="17" s="1"/>
  <c r="BK18" i="17"/>
  <c r="BI18" i="17"/>
  <c r="BF18" i="17"/>
  <c r="BB18" i="17"/>
  <c r="BC13" i="17"/>
  <c r="BB13" i="17"/>
  <c r="AL13" i="17"/>
  <c r="AR13" i="17" s="1"/>
  <c r="BK11" i="17"/>
  <c r="BJ11" i="17"/>
  <c r="BI11" i="17"/>
  <c r="BG11" i="17"/>
  <c r="BE11" i="17"/>
  <c r="BC11" i="17"/>
  <c r="BB11" i="17"/>
  <c r="AS11" i="17"/>
  <c r="AP11" i="17"/>
  <c r="AL11" i="17" s="1"/>
  <c r="AR11" i="17" s="1"/>
  <c r="BC14" i="17"/>
  <c r="BB14" i="17"/>
  <c r="AL14" i="17"/>
  <c r="AR14" i="17" s="1"/>
  <c r="BK12" i="17"/>
  <c r="BJ12" i="17"/>
  <c r="BI12" i="17"/>
  <c r="BG12" i="17"/>
  <c r="BC12" i="17"/>
  <c r="BB12" i="17"/>
  <c r="AS12" i="17"/>
  <c r="AM12" i="17"/>
  <c r="AL12" i="17"/>
  <c r="AR12" i="17" s="1"/>
  <c r="BC17" i="17"/>
  <c r="BB17" i="17"/>
  <c r="AM17" i="17"/>
  <c r="AL17" i="17" s="1"/>
  <c r="AR17" i="17" s="1"/>
  <c r="BJ10" i="17"/>
  <c r="BG10" i="17"/>
  <c r="BB10" i="17"/>
  <c r="AM10" i="17"/>
  <c r="AL10" i="17" s="1"/>
  <c r="AR10" i="17" s="1"/>
  <c r="BK9" i="17"/>
  <c r="BJ9" i="17"/>
  <c r="BI9" i="17"/>
  <c r="BG9" i="17"/>
  <c r="BC9" i="17"/>
  <c r="AL9" i="17"/>
  <c r="AR9" i="17" s="1"/>
  <c r="AS8" i="17"/>
  <c r="AM8" i="17"/>
  <c r="AL8" i="17" s="1"/>
  <c r="AR8" i="17" s="1"/>
  <c r="AM7" i="17"/>
  <c r="AL7" i="17" s="1"/>
  <c r="AR7" i="17" s="1"/>
  <c r="BK6" i="17"/>
  <c r="BJ6" i="17"/>
  <c r="BI6" i="17"/>
  <c r="BG6" i="17"/>
  <c r="BC6" i="17"/>
  <c r="AL6" i="17"/>
  <c r="AR6" i="17" s="1"/>
  <c r="BE5" i="17"/>
  <c r="BB5" i="17"/>
  <c r="AL5" i="17"/>
  <c r="AR5" i="17" s="1"/>
  <c r="BI4" i="17"/>
  <c r="BG4" i="17"/>
  <c r="BE4" i="17"/>
  <c r="AT4" i="17"/>
  <c r="AL4" i="17"/>
  <c r="AR4" i="17" s="1"/>
  <c r="BC3" i="17"/>
  <c r="BB3" i="17"/>
  <c r="AP3" i="17"/>
  <c r="AO3" i="17"/>
  <c r="AM3" i="17"/>
  <c r="AL45" i="17" l="1"/>
  <c r="AR45" i="17" s="1"/>
  <c r="AL56" i="17"/>
  <c r="AR56" i="17" s="1"/>
  <c r="AL3" i="17"/>
  <c r="AR3" i="17" s="1"/>
  <c r="AL72" i="17"/>
  <c r="AR72" i="17" s="1"/>
  <c r="AL90" i="17"/>
  <c r="AR90" i="17" s="1"/>
  <c r="AL28" i="17"/>
  <c r="AR28" i="17" s="1"/>
  <c r="AL109" i="17"/>
  <c r="AR109" i="17" s="1"/>
  <c r="AL55" i="17"/>
  <c r="AR55" i="17" s="1"/>
  <c r="AL102" i="17"/>
  <c r="AR102" i="17" s="1"/>
  <c r="AL40" i="17"/>
  <c r="AR40" i="17" s="1"/>
  <c r="AL95" i="17"/>
  <c r="AR95" i="17" s="1"/>
  <c r="AL49" i="17"/>
  <c r="AR49" i="17" s="1"/>
  <c r="AL47" i="17"/>
  <c r="AR47" i="17" s="1"/>
  <c r="AL20" i="17"/>
  <c r="AR20" i="17" s="1"/>
</calcChain>
</file>

<file path=xl/sharedStrings.xml><?xml version="1.0" encoding="utf-8"?>
<sst xmlns="http://schemas.openxmlformats.org/spreadsheetml/2006/main" count="3756" uniqueCount="1216">
  <si>
    <t>No.</t>
    <phoneticPr fontId="2" type="noConversion"/>
  </si>
  <si>
    <t>프로젝트명</t>
    <phoneticPr fontId="2" type="noConversion"/>
  </si>
  <si>
    <t>비고</t>
    <phoneticPr fontId="2" type="noConversion"/>
  </si>
  <si>
    <t>양화로 복합시설 신축공사</t>
    <phoneticPr fontId="2" type="noConversion"/>
  </si>
  <si>
    <t>업무시설</t>
    <phoneticPr fontId="2" type="noConversion"/>
  </si>
  <si>
    <t>리모델링</t>
    <phoneticPr fontId="2" type="noConversion"/>
  </si>
  <si>
    <t>교육연구시설</t>
    <phoneticPr fontId="2" type="noConversion"/>
  </si>
  <si>
    <t>창고시설</t>
    <phoneticPr fontId="2" type="noConversion"/>
  </si>
  <si>
    <t>토목공사(재입찰)</t>
    <phoneticPr fontId="2" type="noConversion"/>
  </si>
  <si>
    <t>순타</t>
    <phoneticPr fontId="2" type="noConversion"/>
  </si>
  <si>
    <t>구조체</t>
    <phoneticPr fontId="2" type="noConversion"/>
  </si>
  <si>
    <t>조립용 합성 철골조</t>
    <phoneticPr fontId="2" type="noConversion"/>
  </si>
  <si>
    <t>카카오 캠퍼스 신축공사</t>
    <phoneticPr fontId="2" type="noConversion"/>
  </si>
  <si>
    <t>인수인계 2개월</t>
    <phoneticPr fontId="2" type="noConversion"/>
  </si>
  <si>
    <t>공장</t>
    <phoneticPr fontId="2" type="noConversion"/>
  </si>
  <si>
    <t>계룡 복합 쇼핑몰 신축공사</t>
    <phoneticPr fontId="2" type="noConversion"/>
  </si>
  <si>
    <t>RC</t>
    <phoneticPr fontId="2" type="noConversion"/>
  </si>
  <si>
    <t>무신사 성수동 2가  P4</t>
    <phoneticPr fontId="2" type="noConversion"/>
  </si>
  <si>
    <t>SRC</t>
    <phoneticPr fontId="2" type="noConversion"/>
  </si>
  <si>
    <t>인수인계 1개월</t>
    <phoneticPr fontId="2" type="noConversion"/>
  </si>
  <si>
    <t>CIP</t>
    <phoneticPr fontId="2" type="noConversion"/>
  </si>
  <si>
    <t>HK.inno.N 판교연구소</t>
    <phoneticPr fontId="2" type="noConversion"/>
  </si>
  <si>
    <t>GL-10 연암 노출
(B3F 위치)</t>
    <phoneticPr fontId="2" type="noConversion"/>
  </si>
  <si>
    <t>부산시 미음동 삼성냉장창고</t>
    <phoneticPr fontId="2" type="noConversion"/>
  </si>
  <si>
    <t>PC</t>
    <phoneticPr fontId="2" type="noConversion"/>
  </si>
  <si>
    <t>데이터센터</t>
    <phoneticPr fontId="2" type="noConversion"/>
  </si>
  <si>
    <t>지상 포스트텐션</t>
    <phoneticPr fontId="2" type="noConversion"/>
  </si>
  <si>
    <t>일부구간 증축포함</t>
    <phoneticPr fontId="2" type="noConversion"/>
  </si>
  <si>
    <t>강남침례교회</t>
    <phoneticPr fontId="2" type="noConversion"/>
  </si>
  <si>
    <t>GL-9.6 연암노출</t>
    <phoneticPr fontId="2" type="noConversion"/>
  </si>
  <si>
    <t>용평리조트</t>
    <phoneticPr fontId="2" type="noConversion"/>
  </si>
  <si>
    <t>숙박시설</t>
    <phoneticPr fontId="2" type="noConversion"/>
  </si>
  <si>
    <t>GL-11 풍화암 노출</t>
    <phoneticPr fontId="2" type="noConversion"/>
  </si>
  <si>
    <t>OPEN CUT</t>
    <phoneticPr fontId="2" type="noConversion"/>
  </si>
  <si>
    <t>건축행위</t>
    <phoneticPr fontId="2" type="noConversion"/>
  </si>
  <si>
    <t>진행중</t>
    <phoneticPr fontId="2" type="noConversion"/>
  </si>
  <si>
    <t>-</t>
    <phoneticPr fontId="2" type="noConversion"/>
  </si>
  <si>
    <t>한화시스템 구미 C-Project</t>
    <phoneticPr fontId="2" type="noConversion"/>
  </si>
  <si>
    <t>포스트텐션
암 파쇄</t>
    <phoneticPr fontId="2" type="noConversion"/>
  </si>
  <si>
    <t>지하 구조</t>
    <phoneticPr fontId="2" type="noConversion"/>
  </si>
  <si>
    <t>지상 구조</t>
    <phoneticPr fontId="2" type="noConversion"/>
  </si>
  <si>
    <t>CWS</t>
    <phoneticPr fontId="2" type="noConversion"/>
  </si>
  <si>
    <t>신축</t>
    <phoneticPr fontId="2" type="noConversion"/>
  </si>
  <si>
    <t>컬쳐랜드 대치동 사옥 신축공사</t>
    <phoneticPr fontId="2" type="noConversion"/>
  </si>
  <si>
    <t>철거포함</t>
    <phoneticPr fontId="2" type="noConversion"/>
  </si>
  <si>
    <t>슬러리월</t>
    <phoneticPr fontId="2" type="noConversion"/>
  </si>
  <si>
    <t>엘지유플러스 독산사옥 리모델링</t>
    <phoneticPr fontId="2" type="noConversion"/>
  </si>
  <si>
    <t>증축없음</t>
    <phoneticPr fontId="2" type="noConversion"/>
  </si>
  <si>
    <t>아모레퍼시픽 뷰티 제3사업장</t>
    <phoneticPr fontId="2" type="noConversion"/>
  </si>
  <si>
    <t>우리은행 불광동지점 신축공사</t>
    <phoneticPr fontId="2" type="noConversion"/>
  </si>
  <si>
    <t>디지털 드림타워 신축공사</t>
    <phoneticPr fontId="2" type="noConversion"/>
  </si>
  <si>
    <t>ACT.C</t>
    <phoneticPr fontId="2" type="noConversion"/>
  </si>
  <si>
    <t>케레스타 리모델링(현대아울렛)</t>
    <phoneticPr fontId="2" type="noConversion"/>
  </si>
  <si>
    <t>컬거포함</t>
    <phoneticPr fontId="2" type="noConversion"/>
  </si>
  <si>
    <t>수원 인계동 호텔 신축공사</t>
    <phoneticPr fontId="2" type="noConversion"/>
  </si>
  <si>
    <t>역삼 오피스빌딩 신축공사</t>
    <phoneticPr fontId="2" type="noConversion"/>
  </si>
  <si>
    <t>홈플러스 강서 본사이전 증축공사</t>
    <phoneticPr fontId="2" type="noConversion"/>
  </si>
  <si>
    <t>판매시설</t>
    <phoneticPr fontId="2" type="noConversion"/>
  </si>
  <si>
    <t>기초</t>
    <phoneticPr fontId="2" type="noConversion"/>
  </si>
  <si>
    <t>증축</t>
    <phoneticPr fontId="2" type="noConversion"/>
  </si>
  <si>
    <t>철거, 구조보강 등 포함</t>
    <phoneticPr fontId="2" type="noConversion"/>
  </si>
  <si>
    <t>파일기초</t>
    <phoneticPr fontId="2" type="noConversion"/>
  </si>
  <si>
    <t>지내력기초</t>
    <phoneticPr fontId="2" type="noConversion"/>
  </si>
  <si>
    <t>가평 그랜드밸리 골프장</t>
    <phoneticPr fontId="2" type="noConversion"/>
  </si>
  <si>
    <t>역타</t>
    <phoneticPr fontId="2" type="noConversion"/>
  </si>
  <si>
    <t>DBS</t>
    <phoneticPr fontId="2" type="noConversion"/>
  </si>
  <si>
    <t>SOIL NAIL</t>
    <phoneticPr fontId="2" type="noConversion"/>
  </si>
  <si>
    <t>착공 후 1개층 공사 추가</t>
    <phoneticPr fontId="2" type="noConversion"/>
  </si>
  <si>
    <t>PEB</t>
    <phoneticPr fontId="2" type="noConversion"/>
  </si>
  <si>
    <t>CJ 제일제당 논산공장 증축공사(액젓)</t>
    <phoneticPr fontId="2" type="noConversion"/>
  </si>
  <si>
    <t>더존ICT 후생동 증축공사</t>
    <phoneticPr fontId="2" type="noConversion"/>
  </si>
  <si>
    <t>한국콜마 내곡통합기술원</t>
    <phoneticPr fontId="2" type="noConversion"/>
  </si>
  <si>
    <t>의료시설</t>
    <phoneticPr fontId="2" type="noConversion"/>
  </si>
  <si>
    <t>강북 삼성병원 미래의학관 리모델링</t>
    <phoneticPr fontId="2" type="noConversion"/>
  </si>
  <si>
    <t>SCW</t>
    <phoneticPr fontId="2" type="noConversion"/>
  </si>
  <si>
    <t>해성디에스 N프로젝트 증축공사</t>
    <phoneticPr fontId="2" type="noConversion"/>
  </si>
  <si>
    <t>YIK사옥 신축공사</t>
    <phoneticPr fontId="2" type="noConversion"/>
  </si>
  <si>
    <t>롱바이테크_재세농원</t>
    <phoneticPr fontId="2" type="noConversion"/>
  </si>
  <si>
    <t>HD 현대일렉트릭 청주 배전 신공장</t>
    <phoneticPr fontId="2" type="noConversion"/>
  </si>
  <si>
    <t>링크솔루션 대전 사옥 신축공사</t>
    <phoneticPr fontId="2" type="noConversion"/>
  </si>
  <si>
    <t>지역1</t>
    <phoneticPr fontId="2" type="noConversion"/>
  </si>
  <si>
    <t>지역2</t>
    <phoneticPr fontId="2" type="noConversion"/>
  </si>
  <si>
    <t>지역3</t>
    <phoneticPr fontId="2" type="noConversion"/>
  </si>
  <si>
    <t>연면적(㎡)</t>
    <phoneticPr fontId="2" type="noConversion"/>
  </si>
  <si>
    <t>부산시</t>
    <phoneticPr fontId="2" type="noConversion"/>
  </si>
  <si>
    <t>사하구</t>
    <phoneticPr fontId="2" type="noConversion"/>
  </si>
  <si>
    <t xml:space="preserve">서울시 </t>
    <phoneticPr fontId="2" type="noConversion"/>
  </si>
  <si>
    <t>서초구</t>
    <phoneticPr fontId="2" type="noConversion"/>
  </si>
  <si>
    <t>고양시</t>
    <phoneticPr fontId="2" type="noConversion"/>
  </si>
  <si>
    <t>일산서구</t>
    <phoneticPr fontId="2" type="noConversion"/>
  </si>
  <si>
    <t>비도심</t>
    <phoneticPr fontId="2" type="noConversion"/>
  </si>
  <si>
    <t>수원시</t>
    <phoneticPr fontId="2" type="noConversion"/>
  </si>
  <si>
    <t>영통구</t>
    <phoneticPr fontId="2" type="noConversion"/>
  </si>
  <si>
    <t>서울시</t>
    <phoneticPr fontId="2" type="noConversion"/>
  </si>
  <si>
    <t>성동구</t>
    <phoneticPr fontId="2" type="noConversion"/>
  </si>
  <si>
    <t>창원시</t>
    <phoneticPr fontId="2" type="noConversion"/>
  </si>
  <si>
    <t>진해구</t>
    <phoneticPr fontId="2" type="noConversion"/>
  </si>
  <si>
    <t>안성시</t>
    <phoneticPr fontId="2" type="noConversion"/>
  </si>
  <si>
    <t>원곡면</t>
    <phoneticPr fontId="2" type="noConversion"/>
  </si>
  <si>
    <t>마포구</t>
    <phoneticPr fontId="2" type="noConversion"/>
  </si>
  <si>
    <t>영등포구</t>
    <phoneticPr fontId="2" type="noConversion"/>
  </si>
  <si>
    <t>구로구</t>
    <phoneticPr fontId="2" type="noConversion"/>
  </si>
  <si>
    <t>중구</t>
    <phoneticPr fontId="2" type="noConversion"/>
  </si>
  <si>
    <t>여주시</t>
    <phoneticPr fontId="2" type="noConversion"/>
  </si>
  <si>
    <t>송파구</t>
    <phoneticPr fontId="2" type="noConversion"/>
  </si>
  <si>
    <t>팔달구</t>
    <phoneticPr fontId="2" type="noConversion"/>
  </si>
  <si>
    <t>강남구</t>
    <phoneticPr fontId="2" type="noConversion"/>
  </si>
  <si>
    <t>강서구</t>
    <phoneticPr fontId="2" type="noConversion"/>
  </si>
  <si>
    <t>강북구</t>
    <phoneticPr fontId="2" type="noConversion"/>
  </si>
  <si>
    <t>이천시</t>
    <phoneticPr fontId="2" type="noConversion"/>
  </si>
  <si>
    <t>마장면</t>
    <phoneticPr fontId="2" type="noConversion"/>
  </si>
  <si>
    <t>가평읍</t>
    <phoneticPr fontId="2" type="noConversion"/>
  </si>
  <si>
    <t>논산시</t>
    <phoneticPr fontId="2" type="noConversion"/>
  </si>
  <si>
    <t>연무읍</t>
    <phoneticPr fontId="2" type="noConversion"/>
  </si>
  <si>
    <t>은평구</t>
    <phoneticPr fontId="2" type="noConversion"/>
  </si>
  <si>
    <t>양천구</t>
    <phoneticPr fontId="2" type="noConversion"/>
  </si>
  <si>
    <t>평택시</t>
    <phoneticPr fontId="2" type="noConversion"/>
  </si>
  <si>
    <t>포승읍</t>
    <phoneticPr fontId="2" type="noConversion"/>
  </si>
  <si>
    <t>세종시</t>
    <phoneticPr fontId="2" type="noConversion"/>
  </si>
  <si>
    <t>부강면</t>
    <phoneticPr fontId="2" type="noConversion"/>
  </si>
  <si>
    <t>용인시</t>
    <phoneticPr fontId="2" type="noConversion"/>
  </si>
  <si>
    <t>기흥구</t>
    <phoneticPr fontId="2" type="noConversion"/>
  </si>
  <si>
    <t>금천구</t>
    <phoneticPr fontId="2" type="noConversion"/>
  </si>
  <si>
    <t>양산시</t>
    <phoneticPr fontId="2" type="noConversion"/>
  </si>
  <si>
    <t>어걱동</t>
    <phoneticPr fontId="2" type="noConversion"/>
  </si>
  <si>
    <t>대구시</t>
    <phoneticPr fontId="2" type="noConversion"/>
  </si>
  <si>
    <t>남구</t>
    <phoneticPr fontId="2" type="noConversion"/>
  </si>
  <si>
    <t>춘천시</t>
    <phoneticPr fontId="2" type="noConversion"/>
  </si>
  <si>
    <t>남산면</t>
    <phoneticPr fontId="2" type="noConversion"/>
  </si>
  <si>
    <t>인천시</t>
    <phoneticPr fontId="2" type="noConversion"/>
  </si>
  <si>
    <t>연수구</t>
    <phoneticPr fontId="2" type="noConversion"/>
  </si>
  <si>
    <t>종로구</t>
    <phoneticPr fontId="2" type="noConversion"/>
  </si>
  <si>
    <t>오산시</t>
    <phoneticPr fontId="2" type="noConversion"/>
  </si>
  <si>
    <t>가장동</t>
    <phoneticPr fontId="2" type="noConversion"/>
  </si>
  <si>
    <t>구미시</t>
    <phoneticPr fontId="2" type="noConversion"/>
  </si>
  <si>
    <t>산동면</t>
    <phoneticPr fontId="2" type="noConversion"/>
  </si>
  <si>
    <t>제주시</t>
    <phoneticPr fontId="2" type="noConversion"/>
  </si>
  <si>
    <t>외도이동</t>
    <phoneticPr fontId="2" type="noConversion"/>
  </si>
  <si>
    <t>영암군</t>
    <phoneticPr fontId="2" type="noConversion"/>
  </si>
  <si>
    <t>금정면</t>
    <phoneticPr fontId="2" type="noConversion"/>
  </si>
  <si>
    <t>부산진구</t>
    <phoneticPr fontId="2" type="noConversion"/>
  </si>
  <si>
    <t>선탄2로</t>
    <phoneticPr fontId="2" type="noConversion"/>
  </si>
  <si>
    <t>청주시</t>
    <phoneticPr fontId="2" type="noConversion"/>
  </si>
  <si>
    <t>흥덕구</t>
    <phoneticPr fontId="2" type="noConversion"/>
  </si>
  <si>
    <t>양양군</t>
    <phoneticPr fontId="2" type="noConversion"/>
  </si>
  <si>
    <t>순양면</t>
    <phoneticPr fontId="2" type="noConversion"/>
  </si>
  <si>
    <t>대월면</t>
    <phoneticPr fontId="2" type="noConversion"/>
  </si>
  <si>
    <t>서구</t>
    <phoneticPr fontId="2" type="noConversion"/>
  </si>
  <si>
    <t>강동구</t>
    <phoneticPr fontId="2" type="noConversion"/>
  </si>
  <si>
    <t>보개면</t>
    <phoneticPr fontId="2" type="noConversion"/>
  </si>
  <si>
    <t>파주시</t>
    <phoneticPr fontId="2" type="noConversion"/>
  </si>
  <si>
    <t>탄현면</t>
    <phoneticPr fontId="2" type="noConversion"/>
  </si>
  <si>
    <t>청북면</t>
    <phoneticPr fontId="2" type="noConversion"/>
  </si>
  <si>
    <t>과천시</t>
    <phoneticPr fontId="2" type="noConversion"/>
  </si>
  <si>
    <t>갈현동</t>
    <phoneticPr fontId="2" type="noConversion"/>
  </si>
  <si>
    <t>남양주시</t>
    <phoneticPr fontId="2" type="noConversion"/>
  </si>
  <si>
    <t>화성시</t>
    <phoneticPr fontId="2" type="noConversion"/>
  </si>
  <si>
    <t>반송동</t>
    <phoneticPr fontId="2" type="noConversion"/>
  </si>
  <si>
    <t>성남시</t>
    <phoneticPr fontId="2" type="noConversion"/>
  </si>
  <si>
    <t>수지구</t>
    <phoneticPr fontId="2" type="noConversion"/>
  </si>
  <si>
    <t>안산시</t>
    <phoneticPr fontId="2" type="noConversion"/>
  </si>
  <si>
    <t>단원구</t>
    <phoneticPr fontId="2" type="noConversion"/>
  </si>
  <si>
    <t>남양읍</t>
    <phoneticPr fontId="2" type="noConversion"/>
  </si>
  <si>
    <t>수정구</t>
    <phoneticPr fontId="2" type="noConversion"/>
  </si>
  <si>
    <t>계룡시</t>
    <phoneticPr fontId="2" type="noConversion"/>
  </si>
  <si>
    <t>장지동</t>
    <phoneticPr fontId="2" type="noConversion"/>
  </si>
  <si>
    <t>도루코 신사옥 신축공사</t>
    <phoneticPr fontId="2" type="noConversion"/>
  </si>
  <si>
    <t>서귀포시</t>
    <phoneticPr fontId="2" type="noConversion"/>
  </si>
  <si>
    <t>서운면</t>
    <phoneticPr fontId="2" type="noConversion"/>
  </si>
  <si>
    <t>천안시</t>
    <phoneticPr fontId="2" type="noConversion"/>
  </si>
  <si>
    <t>서북구</t>
    <phoneticPr fontId="2" type="noConversion"/>
  </si>
  <si>
    <t>평창군</t>
    <phoneticPr fontId="2" type="noConversion"/>
  </si>
  <si>
    <t>별내동</t>
    <phoneticPr fontId="2" type="noConversion"/>
  </si>
  <si>
    <t>충북</t>
    <phoneticPr fontId="2" type="noConversion"/>
  </si>
  <si>
    <t>강원</t>
    <phoneticPr fontId="2" type="noConversion"/>
  </si>
  <si>
    <t>음성군</t>
    <phoneticPr fontId="2" type="noConversion"/>
  </si>
  <si>
    <t>군산시</t>
    <phoneticPr fontId="2" type="noConversion"/>
  </si>
  <si>
    <t>오식도동</t>
    <phoneticPr fontId="2" type="noConversion"/>
  </si>
  <si>
    <t>동대문구</t>
    <phoneticPr fontId="2" type="noConversion"/>
  </si>
  <si>
    <t>분당구</t>
    <phoneticPr fontId="2" type="noConversion"/>
  </si>
  <si>
    <t>고덕동</t>
    <phoneticPr fontId="2" type="noConversion"/>
  </si>
  <si>
    <t>공단동</t>
    <phoneticPr fontId="2" type="noConversion"/>
  </si>
  <si>
    <t>용산구</t>
    <phoneticPr fontId="2" type="noConversion"/>
  </si>
  <si>
    <t>성산구</t>
    <phoneticPr fontId="2" type="noConversion"/>
  </si>
  <si>
    <t>충주시</t>
    <phoneticPr fontId="2" type="noConversion"/>
  </si>
  <si>
    <t>대소원면</t>
    <phoneticPr fontId="2" type="noConversion"/>
  </si>
  <si>
    <t>예천군</t>
    <phoneticPr fontId="2" type="noConversion"/>
  </si>
  <si>
    <t>울산시</t>
    <phoneticPr fontId="2" type="noConversion"/>
  </si>
  <si>
    <t>울주군</t>
    <phoneticPr fontId="2" type="noConversion"/>
  </si>
  <si>
    <t>남동구</t>
    <phoneticPr fontId="2" type="noConversion"/>
  </si>
  <si>
    <t>화도읍</t>
    <phoneticPr fontId="2" type="noConversion"/>
  </si>
  <si>
    <t>서탄면</t>
    <phoneticPr fontId="2" type="noConversion"/>
  </si>
  <si>
    <t>하원동</t>
    <phoneticPr fontId="2" type="noConversion"/>
  </si>
  <si>
    <t>기장군</t>
    <phoneticPr fontId="2" type="noConversion"/>
  </si>
  <si>
    <t>부천시</t>
    <phoneticPr fontId="2" type="noConversion"/>
  </si>
  <si>
    <t>오정구</t>
    <phoneticPr fontId="2" type="noConversion"/>
  </si>
  <si>
    <t>처인구</t>
    <phoneticPr fontId="2" type="noConversion"/>
  </si>
  <si>
    <t>대전시</t>
    <phoneticPr fontId="2" type="noConversion"/>
  </si>
  <si>
    <t>대덕구</t>
    <phoneticPr fontId="2" type="noConversion"/>
  </si>
  <si>
    <t>도심</t>
    <phoneticPr fontId="2" type="noConversion"/>
  </si>
  <si>
    <t>더 시그넘 하우스</t>
    <phoneticPr fontId="2" type="noConversion"/>
  </si>
  <si>
    <t>외장마감</t>
    <phoneticPr fontId="2" type="noConversion"/>
  </si>
  <si>
    <t>외장마감1</t>
    <phoneticPr fontId="2" type="noConversion"/>
  </si>
  <si>
    <t>외장마감2</t>
    <phoneticPr fontId="2" type="noConversion"/>
  </si>
  <si>
    <t>발주처</t>
    <phoneticPr fontId="2" type="noConversion"/>
  </si>
  <si>
    <t>CJ 제일제당</t>
    <phoneticPr fontId="2" type="noConversion"/>
  </si>
  <si>
    <t>영남대학교 의료원</t>
    <phoneticPr fontId="2" type="noConversion"/>
  </si>
  <si>
    <t>삼성병원</t>
    <phoneticPr fontId="2" type="noConversion"/>
  </si>
  <si>
    <t>비상교육</t>
    <phoneticPr fontId="2" type="noConversion"/>
  </si>
  <si>
    <t>더시그넘</t>
    <phoneticPr fontId="2" type="noConversion"/>
  </si>
  <si>
    <t>삼성전자DS 화성 HPC센터</t>
    <phoneticPr fontId="2" type="noConversion"/>
  </si>
  <si>
    <t>삼성전자DS</t>
    <phoneticPr fontId="2" type="noConversion"/>
  </si>
  <si>
    <t>도루코</t>
    <phoneticPr fontId="2" type="noConversion"/>
  </si>
  <si>
    <t>HK이노엔</t>
    <phoneticPr fontId="2" type="noConversion"/>
  </si>
  <si>
    <t>옵투스제약 2공장 신축공사</t>
    <phoneticPr fontId="2" type="noConversion"/>
  </si>
  <si>
    <t>링크솔루션</t>
    <phoneticPr fontId="2" type="noConversion"/>
  </si>
  <si>
    <t>KT</t>
    <phoneticPr fontId="2" type="noConversion"/>
  </si>
  <si>
    <t>SK하이닉스</t>
    <phoneticPr fontId="2" type="noConversion"/>
  </si>
  <si>
    <t>해성디에스</t>
    <phoneticPr fontId="2" type="noConversion"/>
  </si>
  <si>
    <t>경동</t>
    <phoneticPr fontId="2" type="noConversion"/>
  </si>
  <si>
    <t>마스턴제134호양양시사이드프리미어</t>
    <phoneticPr fontId="2" type="noConversion"/>
  </si>
  <si>
    <t>수주여부</t>
    <phoneticPr fontId="2" type="noConversion"/>
  </si>
  <si>
    <t>유한양행 기념관 리모델링</t>
    <phoneticPr fontId="2" type="noConversion"/>
  </si>
  <si>
    <t>동교동 173-3 숙박시설</t>
    <phoneticPr fontId="2" type="noConversion"/>
  </si>
  <si>
    <t>서울파이낸스센터 리모델링</t>
    <phoneticPr fontId="2" type="noConversion"/>
  </si>
  <si>
    <t>계약</t>
    <phoneticPr fontId="2" type="noConversion"/>
  </si>
  <si>
    <t>이지스 자산운용</t>
    <phoneticPr fontId="2" type="noConversion"/>
  </si>
  <si>
    <t>이지스 자산운용</t>
  </si>
  <si>
    <t>유한양행</t>
  </si>
  <si>
    <t>휘닉스중앙제주㈜</t>
  </si>
  <si>
    <t>㈜인덕크트코리아 로지스틱</t>
  </si>
  <si>
    <t>천안제이디씨피에프브이㈜</t>
  </si>
  <si>
    <t>㈜오리온</t>
  </si>
  <si>
    <t>메이트온</t>
  </si>
  <si>
    <t>그린오크</t>
  </si>
  <si>
    <t>㈜용인중심</t>
  </si>
  <si>
    <t>미정</t>
  </si>
  <si>
    <t>진양건설㈜</t>
  </si>
  <si>
    <t>송도국제화복합단지개발㈜</t>
  </si>
  <si>
    <t>사업구도</t>
    <phoneticPr fontId="2" type="noConversion"/>
  </si>
  <si>
    <t>단순도급</t>
  </si>
  <si>
    <t>단순도급</t>
    <phoneticPr fontId="2" type="noConversion"/>
  </si>
  <si>
    <t>PF</t>
  </si>
  <si>
    <t>PF</t>
    <phoneticPr fontId="2" type="noConversion"/>
  </si>
  <si>
    <t>한화시스템㈜</t>
  </si>
  <si>
    <t>무교다동 18지구 개발사업</t>
  </si>
  <si>
    <t>브룩필드 자산운용</t>
  </si>
  <si>
    <t>서도코퍼레이션</t>
  </si>
  <si>
    <t>부평로지스틱스 PFV</t>
  </si>
  <si>
    <t>nsn컴퍼니(spc1,spc2)</t>
  </si>
  <si>
    <t>파주 콘텐츠시티 개발사업</t>
  </si>
  <si>
    <t>제주 한화 우주센터 시설 구축공사</t>
    <phoneticPr fontId="2" type="noConversion"/>
  </si>
  <si>
    <t>주식회사 이마트</t>
    <phoneticPr fontId="2" type="noConversion"/>
  </si>
  <si>
    <t>파주문화공작소</t>
    <phoneticPr fontId="2" type="noConversion"/>
  </si>
  <si>
    <t>Flur그룹</t>
    <phoneticPr fontId="2" type="noConversion"/>
  </si>
  <si>
    <t>지엔비㈜</t>
    <phoneticPr fontId="2" type="noConversion"/>
  </si>
  <si>
    <t>용인포금피에브프이㈜</t>
  </si>
  <si>
    <t>교직원공제회</t>
  </si>
  <si>
    <t>삼도이동</t>
    <phoneticPr fontId="2" type="noConversion"/>
  </si>
  <si>
    <t>제주 THE-K 호텔 리모델링공사</t>
    <phoneticPr fontId="2" type="noConversion"/>
  </si>
  <si>
    <t>화강석</t>
    <phoneticPr fontId="2" type="noConversion"/>
  </si>
  <si>
    <t>도장</t>
    <phoneticPr fontId="2" type="noConversion"/>
  </si>
  <si>
    <t>건축면적(㎡)</t>
    <phoneticPr fontId="2" type="noConversion"/>
  </si>
  <si>
    <t>대지면적(㎡)</t>
    <phoneticPr fontId="2" type="noConversion"/>
  </si>
  <si>
    <t>T/C</t>
    <phoneticPr fontId="2" type="noConversion"/>
  </si>
  <si>
    <t>커튼월</t>
    <phoneticPr fontId="2" type="noConversion"/>
  </si>
  <si>
    <t>로이복층유리</t>
    <phoneticPr fontId="2" type="noConversion"/>
  </si>
  <si>
    <t>AL복합판넬</t>
    <phoneticPr fontId="2" type="noConversion"/>
  </si>
  <si>
    <t>패션그룹형지㈜</t>
    <phoneticPr fontId="2" type="noConversion"/>
  </si>
  <si>
    <t>씨제이㈜</t>
    <phoneticPr fontId="2" type="noConversion"/>
  </si>
  <si>
    <t>토사</t>
    <phoneticPr fontId="2" type="noConversion"/>
  </si>
  <si>
    <t>풍화토</t>
    <phoneticPr fontId="2" type="noConversion"/>
  </si>
  <si>
    <t>연암</t>
    <phoneticPr fontId="2" type="noConversion"/>
  </si>
  <si>
    <t>경암</t>
    <phoneticPr fontId="2" type="noConversion"/>
  </si>
  <si>
    <t>㈜오리온시네마네트워크</t>
    <phoneticPr fontId="2" type="noConversion"/>
  </si>
  <si>
    <t>㈜농우바이오</t>
    <phoneticPr fontId="2" type="noConversion"/>
  </si>
  <si>
    <t>성수동 지식산업센터 신축공사(서울숲 드림타워)</t>
    <phoneticPr fontId="2" type="noConversion"/>
  </si>
  <si>
    <t>농우바이오 광교사옥 신축공사</t>
    <phoneticPr fontId="2" type="noConversion"/>
  </si>
  <si>
    <t>패션그룹형지 부산사옥 신축공사</t>
    <phoneticPr fontId="2" type="noConversion"/>
  </si>
  <si>
    <t>CJ방배사옥 신축공사</t>
    <phoneticPr fontId="2" type="noConversion"/>
  </si>
  <si>
    <t>접합 STS 시트</t>
    <phoneticPr fontId="2" type="noConversion"/>
  </si>
  <si>
    <t>홈플러스 안성 상온물류창고 신축공사</t>
    <phoneticPr fontId="2" type="noConversion"/>
  </si>
  <si>
    <t>홈플러스㈜</t>
    <phoneticPr fontId="2" type="noConversion"/>
  </si>
  <si>
    <t>비엘인터내쇼날㈜지점</t>
    <phoneticPr fontId="2" type="noConversion"/>
  </si>
  <si>
    <t>삼공개발㈜</t>
    <phoneticPr fontId="2" type="noConversion"/>
  </si>
  <si>
    <t>H/D</t>
    <phoneticPr fontId="2" type="noConversion"/>
  </si>
  <si>
    <t>(주)마스턴제8호한국일보피에프브이</t>
  </si>
  <si>
    <t>웨딩그룹 위더스(영등포점) 신축공사</t>
    <phoneticPr fontId="2" type="noConversion"/>
  </si>
  <si>
    <t>웨딩그룹 위더스</t>
  </si>
  <si>
    <t>SFRC</t>
    <phoneticPr fontId="2" type="noConversion"/>
  </si>
  <si>
    <t>주식회사 유풍 사옥 신축공사</t>
    <phoneticPr fontId="2" type="noConversion"/>
  </si>
  <si>
    <t>주식회사 유풍</t>
    <phoneticPr fontId="2" type="noConversion"/>
  </si>
  <si>
    <t>서초 신라 STAY 호텔 신축공사</t>
    <phoneticPr fontId="2" type="noConversion"/>
  </si>
  <si>
    <t>코크렙벽은호텔(주)</t>
  </si>
  <si>
    <t>GS역전타워 리모델링 공사</t>
    <phoneticPr fontId="2" type="noConversion"/>
  </si>
  <si>
    <t>베스타스사모부동산제5호투자 유한회사</t>
  </si>
  <si>
    <t>석재</t>
    <phoneticPr fontId="2" type="noConversion"/>
  </si>
  <si>
    <t>유글라스</t>
    <phoneticPr fontId="2" type="noConversion"/>
  </si>
  <si>
    <t>폰테가데아코리아 주식회사</t>
  </si>
  <si>
    <t>곤도라</t>
    <phoneticPr fontId="2" type="noConversion"/>
  </si>
  <si>
    <t>씨제이이앤엠</t>
  </si>
  <si>
    <t>여주 농촌테마파크 스튜디오 신축공사</t>
    <phoneticPr fontId="2" type="noConversion"/>
  </si>
  <si>
    <t>파인트리자산운용㈜</t>
    <phoneticPr fontId="2" type="noConversion"/>
  </si>
  <si>
    <t>철거, 구조보강 등 포함
인테리어 추가공사</t>
    <phoneticPr fontId="2" type="noConversion"/>
  </si>
  <si>
    <t>서초동 업무시설 신축공사</t>
  </si>
  <si>
    <t>(주)서초동피에프브이</t>
  </si>
  <si>
    <t>벽돌판넬</t>
    <phoneticPr fontId="2" type="noConversion"/>
  </si>
  <si>
    <t>석촌동 업무시설(오피스텔) 및 근린생활시설 신축공사</t>
  </si>
  <si>
    <t>에쓰엘브이피에프브이 주식회사</t>
  </si>
  <si>
    <t>현대사모부동산투자신탁20호</t>
  </si>
  <si>
    <t>역삼오피스피에프브이 주식회사</t>
  </si>
  <si>
    <t>(주)디지자산운용</t>
  </si>
  <si>
    <t>메탈판넬</t>
    <phoneticPr fontId="2" type="noConversion"/>
  </si>
  <si>
    <t>구조보강 포함</t>
    <phoneticPr fontId="2" type="noConversion"/>
  </si>
  <si>
    <t>학교법인 신일학원</t>
  </si>
  <si>
    <t>신일 생활관 신축공사</t>
  </si>
  <si>
    <t>이천 마장 물류센터 신축공사</t>
  </si>
  <si>
    <t>라살 사모 부동산투자신탁3호</t>
  </si>
  <si>
    <t>코멧 네트워크 사옥 신축공사</t>
    <phoneticPr fontId="2" type="noConversion"/>
  </si>
  <si>
    <t>주식회사 코멧네트워크</t>
  </si>
  <si>
    <t>이케아코리아 유한회사</t>
  </si>
  <si>
    <t>이케아 고양점 신축공사</t>
    <phoneticPr fontId="2" type="noConversion"/>
  </si>
  <si>
    <t>씨제이제일제당(주)</t>
  </si>
  <si>
    <t>연면적 : 3585.11 증축
철거 포함</t>
    <phoneticPr fontId="2" type="noConversion"/>
  </si>
  <si>
    <t>부국관광(주)</t>
  </si>
  <si>
    <t>C/C</t>
    <phoneticPr fontId="2" type="noConversion"/>
  </si>
  <si>
    <t>CJ미래원 증축공사(변경전: 미래경영연구원 증축공사)</t>
    <phoneticPr fontId="2" type="noConversion"/>
  </si>
  <si>
    <t>풍화암</t>
    <phoneticPr fontId="2" type="noConversion"/>
  </si>
  <si>
    <t>목동 근린생활시설 신축공사</t>
    <phoneticPr fontId="2" type="noConversion"/>
  </si>
  <si>
    <t>KSIGN 과천사옥 신축공사</t>
    <phoneticPr fontId="2" type="noConversion"/>
  </si>
  <si>
    <t>안산 성곡동 660번지 창고시설 신축공사</t>
    <phoneticPr fontId="2" type="noConversion"/>
  </si>
  <si>
    <t>해성산업 복합시설 신축공사</t>
    <phoneticPr fontId="2" type="noConversion"/>
  </si>
  <si>
    <t>준타워</t>
    <phoneticPr fontId="2" type="noConversion"/>
  </si>
  <si>
    <t>역삼동 708-4번지외 5필지 복합건축물 신축공사(현정빌딩)</t>
    <phoneticPr fontId="2" type="noConversion"/>
  </si>
  <si>
    <t>지하층 철거포함</t>
    <phoneticPr fontId="2" type="noConversion"/>
  </si>
  <si>
    <t>삼성SDI 기흥단지 개발연구동 신축공사</t>
    <phoneticPr fontId="2" type="noConversion"/>
  </si>
  <si>
    <t>도레이 한국R&amp;D센터 건설 PROJECT</t>
    <phoneticPr fontId="2" type="noConversion"/>
  </si>
  <si>
    <t>(주)더존홀딩스</t>
    <phoneticPr fontId="2" type="noConversion"/>
  </si>
  <si>
    <t>노출콘크리트</t>
    <phoneticPr fontId="2" type="noConversion"/>
  </si>
  <si>
    <t>서교동 복합시설 신축공사</t>
    <phoneticPr fontId="2" type="noConversion"/>
  </si>
  <si>
    <t>춘천 애견 체험박물관 신축공사</t>
    <phoneticPr fontId="2" type="noConversion"/>
  </si>
  <si>
    <t>지내력기초</t>
  </si>
  <si>
    <t>추가계약 포함</t>
    <phoneticPr fontId="2" type="noConversion"/>
  </si>
  <si>
    <t>순차</t>
    <phoneticPr fontId="2" type="noConversion"/>
  </si>
  <si>
    <t>(주)아모레퍼시픽</t>
    <phoneticPr fontId="2" type="noConversion"/>
  </si>
  <si>
    <t>실리콘페인트</t>
    <phoneticPr fontId="2" type="noConversion"/>
  </si>
  <si>
    <t>전남 영암 태양광발전 개발사업 조성공사</t>
    <phoneticPr fontId="2" type="noConversion"/>
  </si>
  <si>
    <t>정안빌딩 리모델링 공사</t>
    <phoneticPr fontId="2" type="noConversion"/>
  </si>
  <si>
    <t>파일기초</t>
  </si>
  <si>
    <t>T/C</t>
  </si>
  <si>
    <t xml:space="preserve"> SRC</t>
    <phoneticPr fontId="2" type="noConversion"/>
  </si>
  <si>
    <t>장교 제12지구 도시정비형 재개발사업</t>
    <phoneticPr fontId="2" type="noConversion"/>
  </si>
  <si>
    <t>마곡 C2-3BL 업무복합시설 신축공사(웰튼 병원)</t>
    <phoneticPr fontId="2" type="noConversion"/>
  </si>
  <si>
    <t>라임스톤</t>
    <phoneticPr fontId="2" type="noConversion"/>
  </si>
  <si>
    <t xml:space="preserve"> RC</t>
    <phoneticPr fontId="2" type="noConversion"/>
  </si>
  <si>
    <t>설해원 클럽하우스 증축공사</t>
    <phoneticPr fontId="2" type="noConversion"/>
  </si>
  <si>
    <t>신라교역 신사옥 건립공사</t>
    <phoneticPr fontId="2" type="noConversion"/>
  </si>
  <si>
    <t>행복모아(주) 제과제빵 사업장 건설 Project</t>
    <phoneticPr fontId="2" type="noConversion"/>
  </si>
  <si>
    <t>안성 히든팰리스 CC 조성공사(이글몬트 CC)</t>
    <phoneticPr fontId="2" type="noConversion"/>
  </si>
  <si>
    <t xml:space="preserve">역타 </t>
    <phoneticPr fontId="2" type="noConversion"/>
  </si>
  <si>
    <t>AL시트판넬</t>
    <phoneticPr fontId="2" type="noConversion"/>
  </si>
  <si>
    <t>제넨바이오 코어센터 건립공사</t>
    <phoneticPr fontId="2" type="noConversion"/>
  </si>
  <si>
    <t>투명로이복층유리</t>
    <phoneticPr fontId="2" type="noConversion"/>
  </si>
  <si>
    <t>한국알콜산업 별관 증축공사</t>
    <phoneticPr fontId="2" type="noConversion"/>
  </si>
  <si>
    <t>정형문화재단(국정원)</t>
  </si>
  <si>
    <t>KHJ-107221(대전 국정원) 신축공사</t>
    <phoneticPr fontId="2" type="noConversion"/>
  </si>
  <si>
    <t>유성구</t>
    <phoneticPr fontId="2" type="noConversion"/>
  </si>
  <si>
    <t>칠곡군</t>
    <phoneticPr fontId="2" type="noConversion"/>
  </si>
  <si>
    <t>고척동 시니어 레지던스 신축공사</t>
    <phoneticPr fontId="2" type="noConversion"/>
  </si>
  <si>
    <t>(주)GN개발</t>
  </si>
  <si>
    <t>수성페인트</t>
    <phoneticPr fontId="2" type="noConversion"/>
  </si>
  <si>
    <t>기존 건물 철거 완료 조건</t>
    <phoneticPr fontId="2" type="noConversion"/>
  </si>
  <si>
    <t>연세대학교 국제캠퍼스 YSP 기숙사</t>
    <phoneticPr fontId="2" type="noConversion"/>
  </si>
  <si>
    <t>제3판교 성남 금토 공공주택지구 5-2블럭 업무시설 신축공사</t>
    <phoneticPr fontId="2" type="noConversion"/>
  </si>
  <si>
    <t xml:space="preserve"> T/C</t>
    <phoneticPr fontId="2" type="noConversion"/>
  </si>
  <si>
    <t>지정금속마감</t>
    <phoneticPr fontId="2" type="noConversion"/>
  </si>
  <si>
    <t>제3판교 성남 금토 공공주택지구 7-3블럭 업무시설 신축공사</t>
    <phoneticPr fontId="2" type="noConversion"/>
  </si>
  <si>
    <t>하인즈 신사역 오피스</t>
    <phoneticPr fontId="2" type="noConversion"/>
  </si>
  <si>
    <t>하인즈 코리아</t>
    <phoneticPr fontId="2" type="noConversion"/>
  </si>
  <si>
    <t>명동 2지구 재개발</t>
    <phoneticPr fontId="2" type="noConversion"/>
  </si>
  <si>
    <t>화성동탄 비즈니스 호텔</t>
    <phoneticPr fontId="2" type="noConversion"/>
  </si>
  <si>
    <t>파주 월롱 스튜디오</t>
    <phoneticPr fontId="2" type="noConversion"/>
  </si>
  <si>
    <t xml:space="preserve">은평구 진관동 시니어 레지던스 복합시설 </t>
    <phoneticPr fontId="2" type="noConversion"/>
  </si>
  <si>
    <t>성수동 공연장 신축</t>
    <phoneticPr fontId="2" type="noConversion"/>
  </si>
  <si>
    <t>롱바이테크</t>
    <phoneticPr fontId="2" type="noConversion"/>
  </si>
  <si>
    <t>(주)제세능원</t>
    <phoneticPr fontId="2" type="noConversion"/>
  </si>
  <si>
    <t>㈜금양</t>
    <phoneticPr fontId="2" type="noConversion"/>
  </si>
  <si>
    <t>한강로2가 업무복합시설</t>
    <phoneticPr fontId="2" type="noConversion"/>
  </si>
  <si>
    <t>코너스톤에이치디피에프브이㈜</t>
    <phoneticPr fontId="2" type="noConversion"/>
  </si>
  <si>
    <t>우연로지스/심석물류</t>
    <phoneticPr fontId="2" type="noConversion"/>
  </si>
  <si>
    <t>㈜코스콤</t>
    <phoneticPr fontId="2" type="noConversion"/>
  </si>
  <si>
    <t>SK 리츠 제주렌트카 허브</t>
    <phoneticPr fontId="2" type="noConversion"/>
  </si>
  <si>
    <t>㈜알에이치제이/㈜정한홀딩스</t>
    <phoneticPr fontId="2" type="noConversion"/>
  </si>
  <si>
    <t>(주)신세계 퍼라퍼티</t>
    <phoneticPr fontId="2" type="noConversion"/>
  </si>
  <si>
    <t>하나대체투자 자산운용</t>
    <phoneticPr fontId="2" type="noConversion"/>
  </si>
  <si>
    <t>해성산업</t>
    <phoneticPr fontId="2" type="noConversion"/>
  </si>
  <si>
    <t>지오앤케이피에프브이</t>
  </si>
  <si>
    <t>미정</t>
    <phoneticPr fontId="2" type="noConversion"/>
  </si>
  <si>
    <t>부산 기장군 호텔 개발사업</t>
    <phoneticPr fontId="2" type="noConversion"/>
  </si>
  <si>
    <t>진천군</t>
    <phoneticPr fontId="2" type="noConversion"/>
  </si>
  <si>
    <t>이월면</t>
    <phoneticPr fontId="2" type="noConversion"/>
  </si>
  <si>
    <t>제주 휘닉스파크 섭지코지 신규콘도신축공사</t>
    <phoneticPr fontId="2" type="noConversion"/>
  </si>
  <si>
    <t>성산읍</t>
    <phoneticPr fontId="2" type="noConversion"/>
  </si>
  <si>
    <t>양양 씨사이드 하이앤드(카펠라) 휴양 콘도미니엄 개발사업</t>
    <phoneticPr fontId="2" type="noConversion"/>
  </si>
  <si>
    <t>손양면</t>
    <phoneticPr fontId="2" type="noConversion"/>
  </si>
  <si>
    <t>용인시 포곡읍 금어리 물류창고 신축공사</t>
    <phoneticPr fontId="2" type="noConversion"/>
  </si>
  <si>
    <t>기존 건축물 철거 기준</t>
    <phoneticPr fontId="2" type="noConversion"/>
  </si>
  <si>
    <t>서플러스 글러벌 반도체장비 클러스터 B동 신축공사</t>
    <phoneticPr fontId="2" type="noConversion"/>
  </si>
  <si>
    <t>(주)서플러스글로벌</t>
    <phoneticPr fontId="2" type="noConversion"/>
  </si>
  <si>
    <t>부천물류랜드마크피에프브이㈜</t>
    <phoneticPr fontId="2" type="noConversion"/>
  </si>
  <si>
    <t>AL루버</t>
    <phoneticPr fontId="2" type="noConversion"/>
  </si>
  <si>
    <t>지정도장</t>
    <phoneticPr fontId="2" type="noConversion"/>
  </si>
  <si>
    <t>1층 바닥 SOG</t>
    <phoneticPr fontId="2" type="noConversion"/>
  </si>
  <si>
    <t>벤탈그린오크</t>
    <phoneticPr fontId="2" type="noConversion"/>
  </si>
  <si>
    <t>이천 장천물류 신축공사</t>
    <phoneticPr fontId="2" type="noConversion"/>
  </si>
  <si>
    <t>㈜장천물류피에프에이</t>
    <phoneticPr fontId="2" type="noConversion"/>
  </si>
  <si>
    <t>설성면</t>
    <phoneticPr fontId="2" type="noConversion"/>
  </si>
  <si>
    <t>㈜허브스퀘어로지스틱스</t>
    <phoneticPr fontId="2" type="noConversion"/>
  </si>
  <si>
    <t>무교다동 제31지구 도시정비형 재개발사업(부림빌딩)</t>
    <phoneticPr fontId="2" type="noConversion"/>
  </si>
  <si>
    <t>참조은홀딩스</t>
    <phoneticPr fontId="2" type="noConversion"/>
  </si>
  <si>
    <t>가남읍</t>
    <phoneticPr fontId="2" type="noConversion"/>
  </si>
  <si>
    <t>마스턴 성수동2가 업무시설 신축공사</t>
    <phoneticPr fontId="2" type="noConversion"/>
  </si>
  <si>
    <t>성수동 2가 269-9 업무시설 신축공사</t>
    <phoneticPr fontId="2" type="noConversion"/>
  </si>
  <si>
    <t>KT 에스테이트</t>
    <phoneticPr fontId="2" type="noConversion"/>
  </si>
  <si>
    <t>에스에스여주 PFV</t>
    <phoneticPr fontId="2" type="noConversion"/>
  </si>
  <si>
    <t>(주)옵투스제약</t>
    <phoneticPr fontId="2" type="noConversion"/>
  </si>
  <si>
    <t>에이치디현대일렉트릭㈜</t>
    <phoneticPr fontId="2" type="noConversion"/>
  </si>
  <si>
    <t>OPEN CUT</t>
  </si>
  <si>
    <t>명동1지구 도시정비형 재개발사업</t>
    <phoneticPr fontId="2" type="noConversion"/>
  </si>
  <si>
    <t>캡스톤명동피에프브이(주)</t>
    <phoneticPr fontId="2" type="noConversion"/>
  </si>
  <si>
    <t>칼라강판</t>
    <phoneticPr fontId="2" type="noConversion"/>
  </si>
  <si>
    <t>파평면</t>
    <phoneticPr fontId="2" type="noConversion"/>
  </si>
  <si>
    <t>지하층, 1층  바닥 SOG</t>
    <phoneticPr fontId="2" type="noConversion"/>
  </si>
  <si>
    <t>마스턴제172호성수오피스프로젝트금융투자 주식회사</t>
    <phoneticPr fontId="2" type="noConversion"/>
  </si>
  <si>
    <t>현암동</t>
    <phoneticPr fontId="2" type="noConversion"/>
  </si>
  <si>
    <t>GFRC 패널</t>
    <phoneticPr fontId="2" type="noConversion"/>
  </si>
  <si>
    <t>암 패쇄
연암/경암 물량 : 41,717㎥</t>
    <phoneticPr fontId="2" type="noConversion"/>
  </si>
  <si>
    <t>호평면</t>
    <phoneticPr fontId="2" type="noConversion"/>
  </si>
  <si>
    <t>한화시스템</t>
    <phoneticPr fontId="2" type="noConversion"/>
  </si>
  <si>
    <t>오리온 도곡 신사옥 신축공사</t>
    <phoneticPr fontId="2" type="noConversion"/>
  </si>
  <si>
    <t>(주)오리온홀딩스</t>
    <phoneticPr fontId="2" type="noConversion"/>
  </si>
  <si>
    <t>지하철 인접 CIP 2열 적용
지상층 포스트텐션</t>
    <phoneticPr fontId="2" type="noConversion"/>
  </si>
  <si>
    <t>삼성전자 평택 기술동 주차빌딩 신축공사(EPC)</t>
    <phoneticPr fontId="2" type="noConversion"/>
  </si>
  <si>
    <t>삼성전자(주)</t>
    <phoneticPr fontId="2" type="noConversion"/>
  </si>
  <si>
    <t xml:space="preserve"> 지내력기초</t>
    <phoneticPr fontId="2" type="noConversion"/>
  </si>
  <si>
    <t>(재)씨젠의료재단 서울 본원 사옥 건립공사</t>
    <phoneticPr fontId="2" type="noConversion"/>
  </si>
  <si>
    <t>(재)씨젠의료재단</t>
    <phoneticPr fontId="2" type="noConversion"/>
  </si>
  <si>
    <t>베이스판넬</t>
    <phoneticPr fontId="2" type="noConversion"/>
  </si>
  <si>
    <t>LG생활건강 음성금왕산단 시즌비축창고 신축공사</t>
    <phoneticPr fontId="2" type="noConversion"/>
  </si>
  <si>
    <t>(주)엘지생활건강</t>
    <phoneticPr fontId="2" type="noConversion"/>
  </si>
  <si>
    <t>(주)샘씨엔에스</t>
    <phoneticPr fontId="2" type="noConversion"/>
  </si>
  <si>
    <t>남원읍</t>
    <phoneticPr fontId="2" type="noConversion"/>
  </si>
  <si>
    <t>발주처 공기 98일 연장 승인</t>
    <phoneticPr fontId="2" type="noConversion"/>
  </si>
  <si>
    <t>발주처 공기 30일 연장 승인</t>
    <phoneticPr fontId="2" type="noConversion"/>
  </si>
  <si>
    <t>가비아컨소시엄 사옥 신축공사</t>
    <phoneticPr fontId="2" type="noConversion"/>
  </si>
  <si>
    <t xml:space="preserve">CIP </t>
  </si>
  <si>
    <t xml:space="preserve">CIP </t>
    <phoneticPr fontId="2" type="noConversion"/>
  </si>
  <si>
    <t>판넬</t>
    <phoneticPr fontId="2" type="noConversion"/>
  </si>
  <si>
    <t>발주처 용도변경으로 인한
공사기간 연장</t>
    <phoneticPr fontId="2" type="noConversion"/>
  </si>
  <si>
    <t>발주처
공기 12개월 연장 승인</t>
    <phoneticPr fontId="2" type="noConversion"/>
  </si>
  <si>
    <t>문화재 출현으로
본착공 지연됨</t>
    <phoneticPr fontId="2" type="noConversion"/>
  </si>
  <si>
    <t>TEC 판넬</t>
    <phoneticPr fontId="2" type="noConversion"/>
  </si>
  <si>
    <t>(주)대웅제약 마곡 DIC 연구소 신축공사 중 토목공사</t>
    <phoneticPr fontId="2" type="noConversion"/>
  </si>
  <si>
    <t>토목</t>
    <phoneticPr fontId="2" type="noConversion"/>
  </si>
  <si>
    <t>발주처
공사기간 82일 연장 승인</t>
    <phoneticPr fontId="2" type="noConversion"/>
  </si>
  <si>
    <t>마이크로파일 보강</t>
    <phoneticPr fontId="2" type="noConversion"/>
  </si>
  <si>
    <t>이지스스트래티직제1의3호전문투자형사모부동산모투자(유)</t>
    <phoneticPr fontId="2" type="noConversion"/>
  </si>
  <si>
    <t>동탄 센터포인트몰 리모델링 A동</t>
    <phoneticPr fontId="2" type="noConversion"/>
  </si>
  <si>
    <t>동탄 센터포인트몰 리모델링 B동</t>
    <phoneticPr fontId="2" type="noConversion"/>
  </si>
  <si>
    <t>송도타임스페이스 신축공사</t>
    <phoneticPr fontId="2" type="noConversion"/>
  </si>
  <si>
    <t>서초동호텔 신축공사</t>
    <phoneticPr fontId="2" type="noConversion"/>
  </si>
  <si>
    <t>씨제이제일제당(주)</t>
    <phoneticPr fontId="2" type="noConversion"/>
  </si>
  <si>
    <t>해성산업(주)</t>
    <phoneticPr fontId="2" type="noConversion"/>
  </si>
  <si>
    <t>A동 추가공사
발주처 공기 9개월 연장 승인</t>
    <phoneticPr fontId="2" type="noConversion"/>
  </si>
  <si>
    <t>B동 추가공사(대수선)
발주처 공기 9개월 연장 승인</t>
    <phoneticPr fontId="2" type="noConversion"/>
  </si>
  <si>
    <t>신한은행 기흥연구소 숙소 재건축공사</t>
    <phoneticPr fontId="2" type="noConversion"/>
  </si>
  <si>
    <t>신도림 코리아빌딩 리모델링(신도림 S컨벤션)</t>
    <phoneticPr fontId="2" type="noConversion"/>
  </si>
  <si>
    <t>숙소동-재건축, 연구동-수선공사
별관동-리모델링</t>
    <phoneticPr fontId="2" type="noConversion"/>
  </si>
  <si>
    <t>발주처 추가공사로 공사기간
13개월 연장 승인</t>
    <phoneticPr fontId="2" type="noConversion"/>
  </si>
  <si>
    <t>BIPV 패널</t>
    <phoneticPr fontId="2" type="noConversion"/>
  </si>
  <si>
    <t>CSWIND 사옥 리모델링 공사</t>
    <phoneticPr fontId="2" type="noConversion"/>
  </si>
  <si>
    <t>AL창호</t>
    <phoneticPr fontId="2" type="noConversion"/>
  </si>
  <si>
    <t>택지개발</t>
    <phoneticPr fontId="2" type="noConversion"/>
  </si>
  <si>
    <t>자연녹지</t>
    <phoneticPr fontId="2" type="noConversion"/>
  </si>
  <si>
    <t>공단</t>
    <phoneticPr fontId="2" type="noConversion"/>
  </si>
  <si>
    <t>산업단지</t>
    <phoneticPr fontId="2" type="noConversion"/>
  </si>
  <si>
    <t>관광휴양지</t>
    <phoneticPr fontId="2" type="noConversion"/>
  </si>
  <si>
    <t>문화 및 집회시설</t>
    <phoneticPr fontId="2" type="noConversion"/>
  </si>
  <si>
    <t>항만</t>
    <phoneticPr fontId="2" type="noConversion"/>
  </si>
  <si>
    <t>동탄시</t>
    <phoneticPr fontId="2" type="noConversion"/>
  </si>
  <si>
    <t>㈜블루코브 1호 동탄 SPC</t>
    <phoneticPr fontId="2" type="noConversion"/>
  </si>
  <si>
    <t>부평구</t>
    <phoneticPr fontId="2" type="noConversion"/>
  </si>
  <si>
    <t>양주시</t>
    <phoneticPr fontId="2" type="noConversion"/>
  </si>
  <si>
    <t>SPS</t>
  </si>
  <si>
    <t>블루리본디벨롭먼트</t>
  </si>
  <si>
    <t>공장</t>
  </si>
  <si>
    <t>CWS</t>
  </si>
  <si>
    <t>주차시설</t>
    <phoneticPr fontId="2" type="noConversion"/>
  </si>
  <si>
    <t>SRC</t>
  </si>
  <si>
    <t>INNO88 증축 리모델링공사(종로 삼환빌딩)</t>
    <phoneticPr fontId="2" type="noConversion"/>
  </si>
  <si>
    <t>벽돌타일패널</t>
  </si>
  <si>
    <t>로이복층유리</t>
  </si>
  <si>
    <t>콜마홀딩스 주식회사</t>
    <phoneticPr fontId="2" type="noConversion"/>
  </si>
  <si>
    <t>(주)우리은행</t>
    <phoneticPr fontId="2" type="noConversion"/>
  </si>
  <si>
    <t>(주)목동피에프브이</t>
    <phoneticPr fontId="2" type="noConversion"/>
  </si>
  <si>
    <t>베어인더주피에프브이(주)</t>
    <phoneticPr fontId="2" type="noConversion"/>
  </si>
  <si>
    <t>중부복합물류 ICD내 배송센터 증축공사</t>
    <phoneticPr fontId="2" type="noConversion"/>
  </si>
  <si>
    <t>한국복합물류(주)</t>
    <phoneticPr fontId="2" type="noConversion"/>
  </si>
  <si>
    <t>신일빌딩1</t>
    <phoneticPr fontId="2" type="noConversion"/>
  </si>
  <si>
    <t>역삼동 동궁 리치웰타워 신축공사</t>
    <phoneticPr fontId="2" type="noConversion"/>
  </si>
  <si>
    <t>동궁종합건설(주)</t>
    <phoneticPr fontId="2" type="noConversion"/>
  </si>
  <si>
    <t>(주)컬쳐랜드</t>
    <phoneticPr fontId="2" type="noConversion"/>
  </si>
  <si>
    <t>삼성에스디아이 (주)</t>
    <phoneticPr fontId="2" type="noConversion"/>
  </si>
  <si>
    <t>도레이첨단소재 주식회사</t>
    <phoneticPr fontId="2" type="noConversion"/>
  </si>
  <si>
    <t>로지원 주식회사</t>
    <phoneticPr fontId="2" type="noConversion"/>
  </si>
  <si>
    <t>영남대학교의료원 권역응급의료센터 증축 및 개수 공사</t>
    <phoneticPr fontId="2" type="noConversion"/>
  </si>
  <si>
    <t>한국콜마 서울사무소 재건축공사</t>
    <phoneticPr fontId="2" type="noConversion"/>
  </si>
  <si>
    <t>콜마비앤에이치(주)</t>
    <phoneticPr fontId="2" type="noConversion"/>
  </si>
  <si>
    <t>센터포인트 명동 복합시설 신축공사</t>
    <phoneticPr fontId="2" type="noConversion"/>
  </si>
  <si>
    <t>마스턴제28호센터포인트명동피에프브이(주)</t>
    <phoneticPr fontId="2" type="noConversion"/>
  </si>
  <si>
    <t>삼성전자 기흥여자기숙사(개나리동) 리모델링 공사</t>
    <phoneticPr fontId="2" type="noConversion"/>
  </si>
  <si>
    <t>도레이첨단소재(주) PET-3 Project 신축공사</t>
    <phoneticPr fontId="2" type="noConversion"/>
  </si>
  <si>
    <t>제주센터)통합물류창고 신축공사</t>
    <phoneticPr fontId="2" type="noConversion"/>
  </si>
  <si>
    <t>씨제이헬스케어 오송공장 수액동 증축공사</t>
    <phoneticPr fontId="2" type="noConversion"/>
  </si>
  <si>
    <t>에이치케이이노엔(주)</t>
    <phoneticPr fontId="2" type="noConversion"/>
  </si>
  <si>
    <t>(주)엘지유플러스</t>
    <phoneticPr fontId="2" type="noConversion"/>
  </si>
  <si>
    <t>청라 하나금융 공동 직장어린이집 신축공사</t>
    <phoneticPr fontId="2" type="noConversion"/>
  </si>
  <si>
    <t>하나글로벌인재개발원피에프브이(주)</t>
    <phoneticPr fontId="2" type="noConversion"/>
  </si>
  <si>
    <t>캐비닛 드 이터널저니 신축공사</t>
    <phoneticPr fontId="2" type="noConversion"/>
  </si>
  <si>
    <t>(주)아난티</t>
    <phoneticPr fontId="2" type="noConversion"/>
  </si>
  <si>
    <t>제이더블유이노스퀘어 신축공사</t>
    <phoneticPr fontId="2" type="noConversion"/>
  </si>
  <si>
    <t>(주)제이더블유이노스퀘어피에프브이</t>
    <phoneticPr fontId="2" type="noConversion"/>
  </si>
  <si>
    <t>(주)리더스스타코리아</t>
    <phoneticPr fontId="2" type="noConversion"/>
  </si>
  <si>
    <t>무신사 P1 PJT 신축공사</t>
    <phoneticPr fontId="2" type="noConversion"/>
  </si>
  <si>
    <t>무신사 P3 PJT 증축공사</t>
    <phoneticPr fontId="2" type="noConversion"/>
  </si>
  <si>
    <t>판교 제2테크노밸리 브이원텍, 소만사 사옥 신축공사</t>
    <phoneticPr fontId="2" type="noConversion"/>
  </si>
  <si>
    <t>주식회사 브이원텍</t>
    <phoneticPr fontId="2" type="noConversion"/>
  </si>
  <si>
    <t>(주)케이사인</t>
    <phoneticPr fontId="2" type="noConversion"/>
  </si>
  <si>
    <t>페블스톤전문투자형사모부동산투자신탁제13호</t>
    <phoneticPr fontId="2" type="noConversion"/>
  </si>
  <si>
    <t>순화동 동화약품 사옥 신축공사</t>
    <phoneticPr fontId="2" type="noConversion"/>
  </si>
  <si>
    <t>동화약품(주)</t>
    <phoneticPr fontId="2" type="noConversion"/>
  </si>
  <si>
    <t>(주)가비아</t>
    <phoneticPr fontId="2" type="noConversion"/>
  </si>
  <si>
    <t>에이치밸류전문투자형사모부동산투자 유한회사</t>
    <phoneticPr fontId="2" type="noConversion"/>
  </si>
  <si>
    <t>CJ제일제당 논산 쿡킷공장 신축공사</t>
    <phoneticPr fontId="2" type="noConversion"/>
  </si>
  <si>
    <t>오설록농장 녹차공장 신축공사</t>
    <phoneticPr fontId="2" type="noConversion"/>
  </si>
  <si>
    <t>농업회사법인 주식회사 오설록농장</t>
    <phoneticPr fontId="2" type="noConversion"/>
  </si>
  <si>
    <t>마스턴제113호로지스포인트서운피에프브이 주식회사</t>
    <phoneticPr fontId="2" type="noConversion"/>
  </si>
  <si>
    <t>샘씨엔에스 오송 신공장 신축공사</t>
    <phoneticPr fontId="2" type="noConversion"/>
  </si>
  <si>
    <t>TV조선 통합방송센터(스튜디오) 신축공사</t>
    <phoneticPr fontId="2" type="noConversion"/>
  </si>
  <si>
    <t>주식회사 조선방송</t>
    <phoneticPr fontId="2" type="noConversion"/>
  </si>
  <si>
    <t>네이버 그린팩토리 리뉴얼 공사</t>
    <phoneticPr fontId="2" type="noConversion"/>
  </si>
  <si>
    <t>네이버 주식회사</t>
    <phoneticPr fontId="2" type="noConversion"/>
  </si>
  <si>
    <t>삼성전자 기흥 어린이집 신축공사</t>
    <phoneticPr fontId="2" type="noConversion"/>
  </si>
  <si>
    <t>경북 클라우드 데이터센터 신축공사</t>
    <phoneticPr fontId="2" type="noConversion"/>
  </si>
  <si>
    <t>케이리얼티3호일반부동산사모투자회사</t>
    <phoneticPr fontId="2" type="noConversion"/>
  </si>
  <si>
    <t>역삼동 832-21 일원 업무시설 신축공사</t>
    <phoneticPr fontId="2" type="noConversion"/>
  </si>
  <si>
    <t>라살제35호부동산일반사모투자회사</t>
    <phoneticPr fontId="2" type="noConversion"/>
  </si>
  <si>
    <t>케펠일반사모부동산투자회사제10호</t>
    <phoneticPr fontId="2" type="noConversion"/>
  </si>
  <si>
    <t>유한회사 금강디앤에스</t>
    <phoneticPr fontId="2" type="noConversion"/>
  </si>
  <si>
    <t>도레이 구미 아라윈 2기(ASF-2) 신축공사</t>
    <phoneticPr fontId="2" type="noConversion"/>
  </si>
  <si>
    <t>이든센트럴 주식회사</t>
    <phoneticPr fontId="2" type="noConversion"/>
  </si>
  <si>
    <t>삼성전자 평택CDC 물류창고 신축공사</t>
    <phoneticPr fontId="2" type="noConversion"/>
  </si>
  <si>
    <t>(주)농심</t>
    <phoneticPr fontId="2" type="noConversion"/>
  </si>
  <si>
    <t>부산공장 햇반 11호기 증설공사</t>
    <phoneticPr fontId="2" type="noConversion"/>
  </si>
  <si>
    <t>(주)송도디엔씨</t>
    <phoneticPr fontId="2" type="noConversion"/>
  </si>
  <si>
    <t>영암태양광발전(주)</t>
    <phoneticPr fontId="2" type="noConversion"/>
  </si>
  <si>
    <t>(주)더존비즈온</t>
    <phoneticPr fontId="2" type="noConversion"/>
  </si>
  <si>
    <t>상상마당 부산 리모델링공사</t>
    <phoneticPr fontId="2" type="noConversion"/>
  </si>
  <si>
    <t>주식회사 케이티앤지</t>
    <phoneticPr fontId="2" type="noConversion"/>
  </si>
  <si>
    <t>성수동 청년지원센터 신축공사</t>
    <phoneticPr fontId="2" type="noConversion"/>
  </si>
  <si>
    <t>삼성SRA전문투자형사모부동산투자신탁 제46호</t>
    <phoneticPr fontId="2" type="noConversion"/>
  </si>
  <si>
    <t>(주)아이디룩</t>
    <phoneticPr fontId="2" type="noConversion"/>
  </si>
  <si>
    <t>(주)하나은행 수탁영업부</t>
    <phoneticPr fontId="2" type="noConversion"/>
  </si>
  <si>
    <t>삼진제약 중앙연구소 신축공사</t>
    <phoneticPr fontId="2" type="noConversion"/>
  </si>
  <si>
    <t>삼진제약 주식회사</t>
    <phoneticPr fontId="2" type="noConversion"/>
  </si>
  <si>
    <t>웰튼 프라퍼티</t>
    <phoneticPr fontId="2" type="noConversion"/>
  </si>
  <si>
    <t>(주)진성비에프</t>
    <phoneticPr fontId="2" type="noConversion"/>
  </si>
  <si>
    <t>주식회사 새서울레저</t>
    <phoneticPr fontId="2" type="noConversion"/>
  </si>
  <si>
    <t>행복모아(주)</t>
    <phoneticPr fontId="2" type="noConversion"/>
  </si>
  <si>
    <t>신라교역(주)</t>
    <phoneticPr fontId="2" type="noConversion"/>
  </si>
  <si>
    <t>주식회사 히든팰리스</t>
    <phoneticPr fontId="2" type="noConversion"/>
  </si>
  <si>
    <t>(주)케이엑스이노베이션</t>
    <phoneticPr fontId="2" type="noConversion"/>
  </si>
  <si>
    <t>(주)씨제이이엔엠</t>
    <phoneticPr fontId="2" type="noConversion"/>
  </si>
  <si>
    <t>(주)제넨바이오</t>
    <phoneticPr fontId="2" type="noConversion"/>
  </si>
  <si>
    <t>디더블유에스 제26호 전문투자형사모부동산투자 유한회사</t>
    <phoneticPr fontId="2" type="noConversion"/>
  </si>
  <si>
    <t>한국알콜산업㈜</t>
    <phoneticPr fontId="2" type="noConversion"/>
  </si>
  <si>
    <t>씨에스윈드 (주)</t>
    <phoneticPr fontId="2" type="noConversion"/>
  </si>
  <si>
    <t>(주)신한은행</t>
    <phoneticPr fontId="2" type="noConversion"/>
  </si>
  <si>
    <t>(주)대웅제약</t>
    <phoneticPr fontId="2" type="noConversion"/>
  </si>
  <si>
    <t>주식회사 카카오스페이스</t>
    <phoneticPr fontId="2" type="noConversion"/>
  </si>
  <si>
    <t>RFHIC(주) 과천사옥 신축공사</t>
    <phoneticPr fontId="2" type="noConversion"/>
  </si>
  <si>
    <t>알에프에이치아이씨(주)</t>
    <phoneticPr fontId="2" type="noConversion"/>
  </si>
  <si>
    <t>무신사 P2 PJT 신축공사</t>
    <phoneticPr fontId="2" type="noConversion"/>
  </si>
  <si>
    <t>고덕비즈밸리 알서포트 사옥 신축공사</t>
    <phoneticPr fontId="2" type="noConversion"/>
  </si>
  <si>
    <t>알서포트(주)</t>
    <phoneticPr fontId="2" type="noConversion"/>
  </si>
  <si>
    <t>제주 외도이동 관광호텔 신축공사</t>
    <phoneticPr fontId="2" type="noConversion"/>
  </si>
  <si>
    <t>밸류제1호제주피에프브이 주식회사</t>
    <phoneticPr fontId="2" type="noConversion"/>
  </si>
  <si>
    <t>고내식판넬</t>
    <phoneticPr fontId="2" type="noConversion"/>
  </si>
  <si>
    <t>남양주 별내 지식산업센터 신축공사</t>
    <phoneticPr fontId="2" type="noConversion"/>
  </si>
  <si>
    <t>(주)아센디오</t>
    <phoneticPr fontId="2" type="noConversion"/>
  </si>
  <si>
    <t>을지로3가 재개발구역 제10지구 업무시설 신축공사</t>
  </si>
  <si>
    <t>대구가톨릭대학교 칠곡가톨릭 새병원 신축공사</t>
  </si>
  <si>
    <t>여의도 현대차증권빌딩 증축공사</t>
  </si>
  <si>
    <t>경동나비엔 서탄공장 부품동 증축공사</t>
  </si>
  <si>
    <t>서초동 1307 오피스 개발사업</t>
  </si>
  <si>
    <t xml:space="preserve">이마트 트레이더스 구월점 신축공사 </t>
  </si>
  <si>
    <t>구로 데이터센터 신축공사</t>
  </si>
  <si>
    <t>제세능원</t>
    <phoneticPr fontId="2" type="noConversion"/>
  </si>
  <si>
    <t>(주)금양 2차전지 생산기지 신축_부속동 공사</t>
  </si>
  <si>
    <t>안양시</t>
    <phoneticPr fontId="2" type="noConversion"/>
  </si>
  <si>
    <t>호계</t>
    <phoneticPr fontId="2" type="noConversion"/>
  </si>
  <si>
    <t>코스콤 안양 호계 데이터센터 신축공사</t>
  </si>
  <si>
    <t>스타필드 창원 신축공사</t>
  </si>
  <si>
    <t>용평 10차 리조트 신축</t>
  </si>
  <si>
    <t>강남중앙침례교회 신축공사</t>
  </si>
  <si>
    <t>역삼동 영림빌딩 리모델링 및 증축공사</t>
  </si>
  <si>
    <t>가산동 데이터센터 신축공사</t>
  </si>
  <si>
    <t>삼성전자</t>
    <phoneticPr fontId="2" type="noConversion"/>
  </si>
  <si>
    <t>합계</t>
    <phoneticPr fontId="2" type="noConversion"/>
  </si>
  <si>
    <t>의료시설</t>
  </si>
  <si>
    <t>운동시설</t>
    <phoneticPr fontId="2" type="noConversion"/>
  </si>
  <si>
    <t>창고시설</t>
  </si>
  <si>
    <t>GMP</t>
    <phoneticPr fontId="2" type="noConversion"/>
  </si>
  <si>
    <t>지식산업센터</t>
    <phoneticPr fontId="2" type="noConversion"/>
  </si>
  <si>
    <t>비엘인터내셔널 부산 신항만 물류센터 신축공사</t>
  </si>
  <si>
    <t>BLK-KKR 평택 물류센터 신축공사</t>
  </si>
  <si>
    <t>양산물류센터 신축공사</t>
  </si>
  <si>
    <t>비상교육 통합 물류센터</t>
  </si>
  <si>
    <t>하이랜드 이노베이션 복합제조 물류센터</t>
  </si>
  <si>
    <t>화성 남양읍 무송리 물류센터 개발공사</t>
  </si>
  <si>
    <t>해성산업 동탄물류센터 신축공사</t>
  </si>
  <si>
    <t>안성 서운면 물류센터 신축공사</t>
  </si>
  <si>
    <t>여주 심석리 물류센터</t>
  </si>
  <si>
    <t>양주 테트리스 스퀘어 물류센터 개발사업</t>
  </si>
  <si>
    <t>남양주 화도 금남5지구 물류센터 신축공사</t>
  </si>
  <si>
    <t>무신사 여주 물류센터 신축공사</t>
  </si>
  <si>
    <t>인천 부평 청천동 물류센터</t>
  </si>
  <si>
    <t>프레시웨이 신수도권 물류센터 신축공사</t>
  </si>
  <si>
    <t xml:space="preserve">	지오엔지 기장 물류센터 신축공사</t>
  </si>
  <si>
    <t>부산 뉴포트 구랑동 물류센터 A부지 신축공사</t>
  </si>
  <si>
    <t>부산 뉴포트 구랑동 물류센터 B부지 신축공사</t>
  </si>
  <si>
    <t>부산시 사하구 물류센터 신축공사</t>
  </si>
  <si>
    <t>부천시 삼정동 물류센터 신축공사</t>
  </si>
  <si>
    <t>청주 센트럴밸리 특수물류센터 신축공사</t>
  </si>
  <si>
    <t>안성시 원곡면 성주리 물류센터 신축공사</t>
  </si>
  <si>
    <t>북천안 JDC 물류센터 신축공사</t>
  </si>
  <si>
    <t>(주)농심 울산 삼남물류센터 신축공사</t>
  </si>
  <si>
    <t>신축</t>
  </si>
  <si>
    <t>한국일보 용산사옥 신축공사(동화기업)</t>
    <phoneticPr fontId="2" type="noConversion"/>
  </si>
  <si>
    <t>주)한국일보사</t>
    <phoneticPr fontId="2" type="noConversion"/>
  </si>
  <si>
    <t>교원 여주 통합물류센터 신축공사</t>
    <phoneticPr fontId="2" type="noConversion"/>
  </si>
  <si>
    <t>(주)교원라이프</t>
    <phoneticPr fontId="2" type="noConversion"/>
  </si>
  <si>
    <t>철거</t>
    <phoneticPr fontId="2" type="noConversion"/>
  </si>
  <si>
    <t>토공</t>
    <phoneticPr fontId="2" type="noConversion"/>
  </si>
  <si>
    <t>골조</t>
    <phoneticPr fontId="2" type="noConversion"/>
  </si>
  <si>
    <t>세한메트로(주)</t>
  </si>
  <si>
    <t>CJ ONLYONE R&amp;D CENTER 신축공사</t>
    <phoneticPr fontId="2" type="noConversion"/>
  </si>
  <si>
    <t>아이디룩 물류센터 증축공사</t>
    <phoneticPr fontId="2" type="noConversion"/>
  </si>
  <si>
    <t>진성비에프 용인테크노밸리 물류센터 신축공사</t>
    <phoneticPr fontId="2" type="noConversion"/>
  </si>
  <si>
    <t>스톤코트</t>
    <phoneticPr fontId="2" type="noConversion"/>
  </si>
  <si>
    <t>PC 외벽 노출</t>
    <phoneticPr fontId="2" type="noConversion"/>
  </si>
  <si>
    <t>발주처 요청으로 접수 연기</t>
    <phoneticPr fontId="2" type="noConversion"/>
  </si>
  <si>
    <t>내부마감</t>
    <phoneticPr fontId="2" type="noConversion"/>
  </si>
  <si>
    <t>대치동 업무시설 신축공사</t>
    <phoneticPr fontId="2" type="noConversion"/>
  </si>
  <si>
    <t>UHPC</t>
    <phoneticPr fontId="2" type="noConversion"/>
  </si>
  <si>
    <t>지하층</t>
    <phoneticPr fontId="2" type="noConversion"/>
  </si>
  <si>
    <t>지상층</t>
    <phoneticPr fontId="2" type="noConversion"/>
  </si>
  <si>
    <t>현장코드</t>
    <phoneticPr fontId="2" type="noConversion"/>
  </si>
  <si>
    <t>공사개월</t>
    <phoneticPr fontId="2" type="noConversion"/>
  </si>
  <si>
    <t>CJ E&amp; 일산스튜디오 신축공사</t>
  </si>
  <si>
    <t>명동 -PLAZA 호텔 리모델링공사</t>
  </si>
  <si>
    <t>KH타워 신축공사</t>
  </si>
  <si>
    <t>CJ EN 콘텐츠월드 1단계 구축공사</t>
  </si>
  <si>
    <t>설계변경
공기연장 8</t>
  </si>
  <si>
    <t>공기연장2
소방시설공사 16억 포함</t>
  </si>
  <si>
    <t>주식회사 무신사(USINSA Co., Ltd.)</t>
  </si>
  <si>
    <t>인테리어, EP(NSC)
건축허가조건 변경으로
연장계약 7개월</t>
  </si>
  <si>
    <t>SK하이닉스 청주15지원관</t>
  </si>
  <si>
    <t>도레이첨단소재 군산공장 KPR-2 Project (GPC)</t>
  </si>
  <si>
    <t>회현역 남산 T-ARK 호텔 리모델링 사업</t>
  </si>
  <si>
    <t>ERCK</t>
  </si>
  <si>
    <t>ST울산 소재4동 신축공사</t>
  </si>
  <si>
    <t>ST</t>
  </si>
  <si>
    <t>NH-Aundi 자산운용</t>
  </si>
  <si>
    <t>용인국제물류 4.0 물류단지 4 물류센터 신축공사</t>
  </si>
  <si>
    <t>용인국제물류 4.0 물류단지 6 물류센터 신축공사</t>
  </si>
  <si>
    <t xml:space="preserve">36
</t>
  </si>
  <si>
    <t>실주</t>
  </si>
  <si>
    <t>실주</t>
    <phoneticPr fontId="2" type="noConversion"/>
  </si>
  <si>
    <t>착공연도</t>
    <phoneticPr fontId="2" type="noConversion"/>
  </si>
  <si>
    <t>공사금액</t>
    <phoneticPr fontId="2" type="noConversion"/>
  </si>
  <si>
    <t>투입인월</t>
    <phoneticPr fontId="2" type="noConversion"/>
  </si>
  <si>
    <t>인당매출액</t>
    <phoneticPr fontId="2" type="noConversion"/>
  </si>
  <si>
    <t>복합시설</t>
    <phoneticPr fontId="2" type="noConversion"/>
  </si>
  <si>
    <t>공장시설</t>
    <phoneticPr fontId="2" type="noConversion"/>
  </si>
  <si>
    <t>방송통신시설</t>
    <phoneticPr fontId="2" type="noConversion"/>
  </si>
  <si>
    <t>종교시설</t>
    <phoneticPr fontId="2" type="noConversion"/>
  </si>
  <si>
    <t>노유자시설</t>
    <phoneticPr fontId="2" type="noConversion"/>
  </si>
  <si>
    <t>오리온 진천 공장/물류 신축공사1</t>
    <phoneticPr fontId="2" type="noConversion"/>
  </si>
  <si>
    <t>오리온 진천 공장/물류 신축공사2</t>
    <phoneticPr fontId="2" type="noConversion"/>
  </si>
  <si>
    <t>지오앤케이 가좌 물류센터 신축공사1</t>
    <phoneticPr fontId="2" type="noConversion"/>
  </si>
  <si>
    <t>지오앤케이 가좌 물류센터 신축공사2</t>
    <phoneticPr fontId="2" type="noConversion"/>
  </si>
  <si>
    <t>NH 부천 도심형 복합물류센터 신축공사1</t>
    <phoneticPr fontId="2" type="noConversion"/>
  </si>
  <si>
    <t>NH 부천 도심형 복합물류센터 신축공사2</t>
    <phoneticPr fontId="2" type="noConversion"/>
  </si>
  <si>
    <t>발전시설</t>
    <phoneticPr fontId="2" type="noConversion"/>
  </si>
  <si>
    <t>여의도 서도리버타워 신축공사1</t>
    <phoneticPr fontId="2" type="noConversion"/>
  </si>
  <si>
    <t>여의도 서도리버타워 신축공사2</t>
    <phoneticPr fontId="2" type="noConversion"/>
  </si>
  <si>
    <t>건축물종류</t>
    <phoneticPr fontId="2" type="noConversion"/>
  </si>
  <si>
    <t>프로젝트코드</t>
    <phoneticPr fontId="2" type="noConversion"/>
  </si>
  <si>
    <t>P20112001</t>
  </si>
  <si>
    <t>502005</t>
  </si>
  <si>
    <t>P20122032</t>
  </si>
  <si>
    <t>502130</t>
  </si>
  <si>
    <t>P20162020</t>
  </si>
  <si>
    <t>P20132007</t>
  </si>
  <si>
    <t>502057</t>
  </si>
  <si>
    <t>P20132012</t>
  </si>
  <si>
    <t>502085</t>
  </si>
  <si>
    <t>P20132005</t>
  </si>
  <si>
    <t>502104</t>
  </si>
  <si>
    <t>P20132018</t>
  </si>
  <si>
    <t>502017</t>
  </si>
  <si>
    <t>P20132006</t>
  </si>
  <si>
    <t>502142</t>
  </si>
  <si>
    <t>P20142020</t>
  </si>
  <si>
    <t>502013</t>
  </si>
  <si>
    <t>P20142017</t>
  </si>
  <si>
    <t>502114</t>
  </si>
  <si>
    <t>P20142001</t>
  </si>
  <si>
    <t>502035</t>
  </si>
  <si>
    <t>P20142021</t>
  </si>
  <si>
    <t>502020</t>
  </si>
  <si>
    <t>P20142007</t>
  </si>
  <si>
    <t>502074</t>
  </si>
  <si>
    <t>P20142012</t>
  </si>
  <si>
    <t>502009</t>
  </si>
  <si>
    <t>P20132020</t>
  </si>
  <si>
    <t>502110</t>
  </si>
  <si>
    <t>P20152008</t>
  </si>
  <si>
    <t>502039</t>
  </si>
  <si>
    <t>P20152001</t>
  </si>
  <si>
    <t>502101</t>
  </si>
  <si>
    <t>P20142022</t>
  </si>
  <si>
    <t>502023</t>
  </si>
  <si>
    <t>P20152028</t>
  </si>
  <si>
    <t>502025</t>
  </si>
  <si>
    <t>P20152027</t>
  </si>
  <si>
    <t>502031</t>
  </si>
  <si>
    <t>P20142024</t>
  </si>
  <si>
    <t>502044</t>
  </si>
  <si>
    <t>P20152011</t>
  </si>
  <si>
    <t>502028</t>
  </si>
  <si>
    <t>P20162040</t>
  </si>
  <si>
    <t>502153</t>
  </si>
  <si>
    <t>P20162041</t>
  </si>
  <si>
    <t>502033</t>
  </si>
  <si>
    <t>P20162054</t>
  </si>
  <si>
    <t>502040</t>
  </si>
  <si>
    <t>P20162049</t>
  </si>
  <si>
    <t>502116</t>
  </si>
  <si>
    <t>P20162053</t>
  </si>
  <si>
    <t>502093</t>
  </si>
  <si>
    <t>P20162068</t>
  </si>
  <si>
    <t>502167</t>
  </si>
  <si>
    <t>P20162071</t>
  </si>
  <si>
    <t>502008</t>
  </si>
  <si>
    <t>P20162045</t>
  </si>
  <si>
    <t>502043</t>
  </si>
  <si>
    <t>P20172016</t>
  </si>
  <si>
    <t>502151</t>
  </si>
  <si>
    <t>P20172015</t>
  </si>
  <si>
    <t>502154</t>
  </si>
  <si>
    <t>P20172027</t>
  </si>
  <si>
    <t>502156</t>
  </si>
  <si>
    <t>P20172032</t>
  </si>
  <si>
    <t>502158</t>
  </si>
  <si>
    <t>P20172005</t>
  </si>
  <si>
    <t>502016</t>
  </si>
  <si>
    <t>P20172020</t>
  </si>
  <si>
    <t>502037</t>
  </si>
  <si>
    <t>P20172033</t>
  </si>
  <si>
    <t>502022</t>
  </si>
  <si>
    <t>P20182012</t>
  </si>
  <si>
    <t>502149</t>
  </si>
  <si>
    <t>P20182031</t>
  </si>
  <si>
    <t>502192</t>
  </si>
  <si>
    <t>P20182057</t>
  </si>
  <si>
    <t>502210</t>
  </si>
  <si>
    <t>P20182052</t>
  </si>
  <si>
    <t>502204</t>
  </si>
  <si>
    <t>P20182019</t>
  </si>
  <si>
    <t>502183</t>
  </si>
  <si>
    <t>P20182020</t>
  </si>
  <si>
    <t>502184</t>
  </si>
  <si>
    <t>P20182024</t>
  </si>
  <si>
    <t>502187</t>
  </si>
  <si>
    <t>P20182014</t>
  </si>
  <si>
    <t>502169</t>
  </si>
  <si>
    <t>P20182037</t>
  </si>
  <si>
    <t>502195</t>
  </si>
  <si>
    <t>P20182001</t>
  </si>
  <si>
    <t>502150</t>
  </si>
  <si>
    <t>P20192065</t>
  </si>
  <si>
    <t>502261</t>
  </si>
  <si>
    <t>P20182065</t>
  </si>
  <si>
    <t>502219</t>
  </si>
  <si>
    <t>P20192041</t>
  </si>
  <si>
    <t>502243</t>
  </si>
  <si>
    <t>P20192068</t>
  </si>
  <si>
    <t>502262</t>
  </si>
  <si>
    <t>P20192028</t>
  </si>
  <si>
    <t>502237</t>
  </si>
  <si>
    <t>P20182064</t>
  </si>
  <si>
    <t>502218</t>
  </si>
  <si>
    <t>P20192040</t>
  </si>
  <si>
    <t>502242</t>
  </si>
  <si>
    <t>P20192045</t>
  </si>
  <si>
    <t>502247</t>
  </si>
  <si>
    <t>P20192010</t>
  </si>
  <si>
    <t>502226</t>
  </si>
  <si>
    <t>P20192021</t>
  </si>
  <si>
    <t>502234</t>
  </si>
  <si>
    <t>P20192081</t>
  </si>
  <si>
    <t>502273</t>
  </si>
  <si>
    <t>P20192083</t>
  </si>
  <si>
    <t>502275</t>
  </si>
  <si>
    <t>P20192044</t>
  </si>
  <si>
    <t>502246</t>
  </si>
  <si>
    <t>P20192011</t>
  </si>
  <si>
    <t>502227</t>
  </si>
  <si>
    <t>P20192064</t>
  </si>
  <si>
    <t>502260</t>
  </si>
  <si>
    <t>P20192079</t>
  </si>
  <si>
    <t>502271</t>
  </si>
  <si>
    <t>P20202029</t>
  </si>
  <si>
    <t>502308</t>
  </si>
  <si>
    <t>P20202017</t>
  </si>
  <si>
    <t>502299</t>
  </si>
  <si>
    <t>P20202050</t>
  </si>
  <si>
    <t>502324</t>
  </si>
  <si>
    <t>P20202049</t>
  </si>
  <si>
    <t>502317</t>
  </si>
  <si>
    <t>P20202051</t>
  </si>
  <si>
    <t>502325</t>
  </si>
  <si>
    <t>P20202059</t>
  </si>
  <si>
    <t>502334</t>
  </si>
  <si>
    <t>P20202048</t>
  </si>
  <si>
    <t>502318</t>
  </si>
  <si>
    <t>P20202010</t>
  </si>
  <si>
    <t>502287</t>
  </si>
  <si>
    <t>P20202007</t>
  </si>
  <si>
    <t>502284</t>
  </si>
  <si>
    <t>P20202009</t>
  </si>
  <si>
    <t>502286</t>
  </si>
  <si>
    <t>P20202060</t>
  </si>
  <si>
    <t>502333</t>
  </si>
  <si>
    <t>P20202061</t>
  </si>
  <si>
    <t>502336</t>
  </si>
  <si>
    <t>P20212013</t>
  </si>
  <si>
    <t>502359</t>
  </si>
  <si>
    <t>P20212011</t>
  </si>
  <si>
    <t>502358</t>
  </si>
  <si>
    <t>P20212018</t>
  </si>
  <si>
    <t>502364</t>
  </si>
  <si>
    <t>P20212026</t>
  </si>
  <si>
    <t>502374</t>
  </si>
  <si>
    <t>P20212019</t>
  </si>
  <si>
    <t>502366</t>
  </si>
  <si>
    <t>P20212024</t>
  </si>
  <si>
    <t>502372</t>
  </si>
  <si>
    <t>P20212025</t>
  </si>
  <si>
    <t>502373</t>
  </si>
  <si>
    <t>P20212042</t>
  </si>
  <si>
    <t>502389</t>
  </si>
  <si>
    <t>P20212041</t>
  </si>
  <si>
    <t>502388</t>
  </si>
  <si>
    <t>P20212043</t>
  </si>
  <si>
    <t>502390</t>
  </si>
  <si>
    <t>P20212051</t>
  </si>
  <si>
    <t>502397</t>
  </si>
  <si>
    <t>P20212084</t>
  </si>
  <si>
    <t>502425</t>
  </si>
  <si>
    <t>P20212076</t>
  </si>
  <si>
    <t>502417</t>
  </si>
  <si>
    <t>P20212057</t>
  </si>
  <si>
    <t>502402</t>
  </si>
  <si>
    <t>P20212064</t>
  </si>
  <si>
    <t>502408</t>
  </si>
  <si>
    <t>P20212097</t>
  </si>
  <si>
    <t>502436</t>
  </si>
  <si>
    <t>P20240066</t>
  </si>
  <si>
    <t>P20212100</t>
  </si>
  <si>
    <t>502438</t>
  </si>
  <si>
    <t>P20212096</t>
  </si>
  <si>
    <t>502435</t>
  </si>
  <si>
    <t>P20212099</t>
  </si>
  <si>
    <t>502437</t>
  </si>
  <si>
    <t>P20222048</t>
  </si>
  <si>
    <t>502494</t>
  </si>
  <si>
    <t>P20212020</t>
  </si>
  <si>
    <t>502367</t>
  </si>
  <si>
    <t>P20222185</t>
  </si>
  <si>
    <t>P20222001</t>
  </si>
  <si>
    <t>502445</t>
  </si>
  <si>
    <t>P20222047</t>
  </si>
  <si>
    <t>502493</t>
  </si>
  <si>
    <t>P20222180</t>
  </si>
  <si>
    <t>P20222179</t>
  </si>
  <si>
    <t>P20222178</t>
  </si>
  <si>
    <t>P20222188</t>
  </si>
  <si>
    <t>P20222066</t>
  </si>
  <si>
    <t>502507</t>
  </si>
  <si>
    <t>P20222182</t>
  </si>
  <si>
    <t>P20212070</t>
  </si>
  <si>
    <t>502413</t>
  </si>
  <si>
    <t>P20222183</t>
  </si>
  <si>
    <t>P20222164</t>
  </si>
  <si>
    <t>502551</t>
  </si>
  <si>
    <t>P20222117</t>
  </si>
  <si>
    <t>502558</t>
  </si>
  <si>
    <t>P20222126</t>
  </si>
  <si>
    <t>512001</t>
  </si>
  <si>
    <t>P20230013</t>
  </si>
  <si>
    <t>512010</t>
  </si>
  <si>
    <t>P20222210</t>
  </si>
  <si>
    <t>512012</t>
  </si>
  <si>
    <t>P20222212</t>
  </si>
  <si>
    <t>512011</t>
  </si>
  <si>
    <t>P20222215</t>
  </si>
  <si>
    <t>512024</t>
  </si>
  <si>
    <t>P20230017</t>
  </si>
  <si>
    <t>512016</t>
  </si>
  <si>
    <t>P20230018</t>
  </si>
  <si>
    <t>512039</t>
  </si>
  <si>
    <t>P20230043</t>
  </si>
  <si>
    <t>512045</t>
  </si>
  <si>
    <t>P20230037</t>
  </si>
  <si>
    <t>512057</t>
  </si>
  <si>
    <t>P20230052</t>
  </si>
  <si>
    <t>P20230012</t>
  </si>
  <si>
    <t>512056</t>
  </si>
  <si>
    <t>P20222163</t>
  </si>
  <si>
    <t>502572</t>
  </si>
  <si>
    <t>P20230105</t>
  </si>
  <si>
    <t>P20230059</t>
  </si>
  <si>
    <t>P20230100</t>
  </si>
  <si>
    <t>P20240019</t>
  </si>
  <si>
    <t>P20240079</t>
  </si>
  <si>
    <t>MERCK BIO PLANT PROJECT</t>
  </si>
  <si>
    <t>P20230096</t>
  </si>
  <si>
    <t>P20250039</t>
  </si>
  <si>
    <t>512185</t>
  </si>
  <si>
    <t>P20230104</t>
  </si>
  <si>
    <t>P20230123</t>
  </si>
  <si>
    <t>P20222105</t>
  </si>
  <si>
    <t>512078</t>
  </si>
  <si>
    <t>P20230139</t>
  </si>
  <si>
    <t>P20230121</t>
  </si>
  <si>
    <t>512110</t>
  </si>
  <si>
    <t>P20230130</t>
  </si>
  <si>
    <t>512085</t>
  </si>
  <si>
    <t>P20230094</t>
  </si>
  <si>
    <t>P20230143</t>
  </si>
  <si>
    <t>P20230095</t>
  </si>
  <si>
    <t>512193</t>
  </si>
  <si>
    <t>P20240001</t>
  </si>
  <si>
    <t>P20240011</t>
  </si>
  <si>
    <t>512098</t>
  </si>
  <si>
    <t>P20240003</t>
  </si>
  <si>
    <t>P20230141</t>
  </si>
  <si>
    <t>512124</t>
  </si>
  <si>
    <t>P20240004</t>
  </si>
  <si>
    <t>P20240013</t>
  </si>
  <si>
    <t>512086</t>
  </si>
  <si>
    <t>P20240014</t>
  </si>
  <si>
    <t>512113</t>
  </si>
  <si>
    <t>P20240024</t>
  </si>
  <si>
    <t>P20240023</t>
  </si>
  <si>
    <t>P20240022</t>
  </si>
  <si>
    <t>512099</t>
  </si>
  <si>
    <t>P20240034</t>
  </si>
  <si>
    <t>512100</t>
  </si>
  <si>
    <t>P20240042</t>
  </si>
  <si>
    <t>512127</t>
  </si>
  <si>
    <t>P20240026</t>
  </si>
  <si>
    <t>P20240059</t>
  </si>
  <si>
    <t>512105</t>
  </si>
  <si>
    <t>P20240041</t>
  </si>
  <si>
    <t>P20240045</t>
  </si>
  <si>
    <t>P20240048</t>
  </si>
  <si>
    <t>P20240058</t>
  </si>
  <si>
    <t>512125</t>
  </si>
  <si>
    <t>P20240092</t>
  </si>
  <si>
    <t>512126</t>
  </si>
  <si>
    <t>P20250071</t>
  </si>
  <si>
    <t>512177</t>
  </si>
  <si>
    <t>P20230135</t>
  </si>
  <si>
    <t>512095</t>
  </si>
  <si>
    <t>P20240062</t>
  </si>
  <si>
    <t>512119</t>
  </si>
  <si>
    <t>P20240086</t>
  </si>
  <si>
    <t>P20230144</t>
  </si>
  <si>
    <t>P20240080</t>
  </si>
  <si>
    <t>512123</t>
  </si>
  <si>
    <t>P20240115</t>
  </si>
  <si>
    <t>P20240083</t>
  </si>
  <si>
    <t>P20240101</t>
  </si>
  <si>
    <t>P20240103</t>
  </si>
  <si>
    <t>P20240095</t>
  </si>
  <si>
    <t>P20250056</t>
  </si>
  <si>
    <t>P20240120</t>
  </si>
  <si>
    <t>P20250076</t>
  </si>
  <si>
    <t>512196</t>
  </si>
  <si>
    <t>P20250025</t>
  </si>
  <si>
    <t>P20240132</t>
  </si>
  <si>
    <t>P20250003</t>
  </si>
  <si>
    <t>P20250002</t>
  </si>
  <si>
    <t>P20240135</t>
  </si>
  <si>
    <t>P20240139</t>
  </si>
  <si>
    <t>P20240137</t>
  </si>
  <si>
    <t>512157</t>
  </si>
  <si>
    <t>P20250026</t>
  </si>
  <si>
    <t>P20250074</t>
  </si>
  <si>
    <t>P20250014</t>
  </si>
  <si>
    <t>512162</t>
  </si>
  <si>
    <t>P20250009</t>
  </si>
  <si>
    <t>P20250048</t>
  </si>
  <si>
    <t>E20200167</t>
  </si>
  <si>
    <t>E20240110</t>
  </si>
  <si>
    <t>E20240145</t>
  </si>
  <si>
    <t>E20250429</t>
  </si>
  <si>
    <t>E20210053</t>
  </si>
  <si>
    <t>E20250074</t>
  </si>
  <si>
    <t>E20200203</t>
  </si>
  <si>
    <t>E20210057</t>
  </si>
  <si>
    <t>E20210022</t>
  </si>
  <si>
    <t>E20240465</t>
  </si>
  <si>
    <t>E20210157</t>
  </si>
  <si>
    <t>E20200128</t>
  </si>
  <si>
    <t>E20230306</t>
  </si>
  <si>
    <t>E20240180</t>
  </si>
  <si>
    <t>E20240072</t>
  </si>
  <si>
    <t>E20240001</t>
  </si>
  <si>
    <t>E20240314</t>
  </si>
  <si>
    <t>E20240328</t>
  </si>
  <si>
    <t>E20240369</t>
  </si>
  <si>
    <t>E20240394</t>
  </si>
  <si>
    <t>E20240051</t>
  </si>
  <si>
    <t>E20240052</t>
  </si>
  <si>
    <t xml:space="preserve">경기도 </t>
    <phoneticPr fontId="2" type="noConversion"/>
  </si>
  <si>
    <t>S</t>
    <phoneticPr fontId="2" type="noConversion"/>
  </si>
  <si>
    <t>역타공법1</t>
    <phoneticPr fontId="2" type="noConversion"/>
  </si>
  <si>
    <t>역타공법2</t>
    <phoneticPr fontId="2" type="noConversion"/>
  </si>
  <si>
    <t>SPS</t>
    <phoneticPr fontId="2" type="noConversion"/>
  </si>
  <si>
    <t>STURT</t>
  </si>
  <si>
    <t>STURT</t>
    <phoneticPr fontId="2" type="noConversion"/>
  </si>
  <si>
    <t>CIP</t>
  </si>
  <si>
    <t>어스앙카 제거식</t>
  </si>
  <si>
    <t>어스앙카 제거식</t>
    <phoneticPr fontId="2" type="noConversion"/>
  </si>
  <si>
    <t>흙막이 공법2</t>
    <phoneticPr fontId="2" type="noConversion"/>
  </si>
  <si>
    <t>흙막이 공법1</t>
    <phoneticPr fontId="2" type="noConversion"/>
  </si>
  <si>
    <t>DRA</t>
    <phoneticPr fontId="2" type="noConversion"/>
  </si>
  <si>
    <t>PHC</t>
  </si>
  <si>
    <t>어스앙카</t>
    <phoneticPr fontId="2" type="noConversion"/>
  </si>
  <si>
    <t>STRUT</t>
  </si>
  <si>
    <t>STRUT</t>
    <phoneticPr fontId="2" type="noConversion"/>
  </si>
  <si>
    <t>HI STRUT</t>
    <phoneticPr fontId="2" type="noConversion"/>
  </si>
  <si>
    <t>JCG</t>
    <phoneticPr fontId="2" type="noConversion"/>
  </si>
  <si>
    <t xml:space="preserve"> CIP</t>
    <phoneticPr fontId="2" type="noConversion"/>
  </si>
  <si>
    <t>제거식 NAIL</t>
    <phoneticPr fontId="2" type="noConversion"/>
  </si>
  <si>
    <t>PHC</t>
    <phoneticPr fontId="2" type="noConversion"/>
  </si>
  <si>
    <t xml:space="preserve">SP-PILE </t>
    <phoneticPr fontId="2" type="noConversion"/>
  </si>
  <si>
    <t>PS H-PILE</t>
    <phoneticPr fontId="2" type="noConversion"/>
  </si>
  <si>
    <t>SHEET PILE</t>
    <phoneticPr fontId="2" type="noConversion"/>
  </si>
  <si>
    <t>Semi TopDown</t>
  </si>
  <si>
    <t>Full TopDown</t>
  </si>
  <si>
    <t>UPUP</t>
  </si>
  <si>
    <t>UpUp</t>
  </si>
  <si>
    <t>TopDown</t>
  </si>
  <si>
    <t xml:space="preserve">PS H-PILE </t>
    <phoneticPr fontId="2" type="noConversion"/>
  </si>
  <si>
    <t>치장벽돌</t>
    <phoneticPr fontId="2" type="noConversion"/>
  </si>
  <si>
    <t>우레탄 판넬</t>
    <phoneticPr fontId="2" type="noConversion"/>
  </si>
  <si>
    <t>그라스울 판넬</t>
    <phoneticPr fontId="2" type="noConversion"/>
  </si>
  <si>
    <t>화산송이벽돌</t>
    <phoneticPr fontId="2" type="noConversion"/>
  </si>
  <si>
    <t>PIR 판넬</t>
    <phoneticPr fontId="2" type="noConversion"/>
  </si>
  <si>
    <t>복합판넬</t>
    <phoneticPr fontId="2" type="noConversion"/>
  </si>
  <si>
    <t>금속단열판넬</t>
    <phoneticPr fontId="2" type="noConversion"/>
  </si>
  <si>
    <t>AL접합시트</t>
    <phoneticPr fontId="2" type="noConversion"/>
  </si>
  <si>
    <t>세라믹판넬</t>
    <phoneticPr fontId="2" type="noConversion"/>
  </si>
  <si>
    <t>투명강화접합유리</t>
    <phoneticPr fontId="2" type="noConversion"/>
  </si>
  <si>
    <t>금속패널</t>
    <phoneticPr fontId="2" type="noConversion"/>
  </si>
  <si>
    <t>칼라로이복층유리</t>
    <phoneticPr fontId="2" type="noConversion"/>
  </si>
  <si>
    <t>고효율더블로이삼중유리</t>
    <phoneticPr fontId="2" type="noConversion"/>
  </si>
  <si>
    <t>더블루프판넬</t>
    <phoneticPr fontId="2" type="noConversion"/>
  </si>
  <si>
    <t>지정타일</t>
    <phoneticPr fontId="2" type="noConversion"/>
  </si>
  <si>
    <t>테라코타 패널</t>
    <phoneticPr fontId="2" type="noConversion"/>
  </si>
  <si>
    <t>유닛타입 석재</t>
    <phoneticPr fontId="2" type="noConversion"/>
  </si>
  <si>
    <t>박판세라믹타일</t>
    <phoneticPr fontId="2" type="noConversion"/>
  </si>
  <si>
    <t>AL시트</t>
    <phoneticPr fontId="2" type="noConversion"/>
  </si>
  <si>
    <t>스타코 지정석재</t>
    <phoneticPr fontId="2" type="noConversion"/>
  </si>
  <si>
    <t>고강도내식판넬</t>
    <phoneticPr fontId="2" type="noConversion"/>
  </si>
  <si>
    <t>서울 종로구 효제동 21-3 업무시설 신축공사1</t>
    <phoneticPr fontId="2" type="noConversion"/>
  </si>
  <si>
    <t>한국리얼효제동오피스 PFV주식회사</t>
    <phoneticPr fontId="2" type="noConversion"/>
  </si>
  <si>
    <t>ADS</t>
    <phoneticPr fontId="2" type="noConversion"/>
  </si>
  <si>
    <t>서울 종로구 효제동 21-3 업무시설 신축공사2</t>
    <phoneticPr fontId="2" type="noConversion"/>
  </si>
  <si>
    <t>ASD</t>
    <phoneticPr fontId="2" type="noConversion"/>
  </si>
  <si>
    <t>고내식 불연 강판</t>
    <phoneticPr fontId="2" type="noConversion"/>
  </si>
  <si>
    <t>토공장비</t>
    <phoneticPr fontId="2" type="noConversion"/>
  </si>
  <si>
    <t>토공장비수량</t>
    <phoneticPr fontId="2" type="noConversion"/>
  </si>
  <si>
    <t>골조마감장비수량</t>
    <phoneticPr fontId="2" type="noConversion"/>
  </si>
  <si>
    <t>물량1</t>
    <phoneticPr fontId="2" type="noConversion"/>
  </si>
  <si>
    <t>토공(m3)</t>
    <phoneticPr fontId="2" type="noConversion"/>
  </si>
  <si>
    <t>골조(m3)</t>
    <phoneticPr fontId="2" type="noConversion"/>
  </si>
  <si>
    <t>물량3</t>
  </si>
  <si>
    <t>물량4</t>
  </si>
  <si>
    <t>철골(ton)</t>
    <phoneticPr fontId="2" type="noConversion"/>
  </si>
  <si>
    <t>주요장비</t>
    <phoneticPr fontId="2" type="noConversion"/>
  </si>
  <si>
    <t>물량5</t>
  </si>
  <si>
    <t>항타기</t>
    <phoneticPr fontId="2" type="noConversion"/>
  </si>
  <si>
    <t>물량2</t>
    <phoneticPr fontId="2" type="noConversion"/>
  </si>
  <si>
    <t>Slurry Wall
(m2)</t>
    <phoneticPr fontId="2" type="noConversion"/>
  </si>
  <si>
    <t>물량6</t>
  </si>
  <si>
    <t>물량7</t>
  </si>
  <si>
    <t>물량8</t>
  </si>
  <si>
    <t>물량9</t>
  </si>
  <si>
    <t>SIDE PILE
(EA)</t>
    <phoneticPr fontId="2" type="noConversion"/>
  </si>
  <si>
    <t>MICRO PILE
(EA)</t>
    <phoneticPr fontId="2" type="noConversion"/>
  </si>
  <si>
    <t>물량10</t>
  </si>
  <si>
    <t>PRD
(공)</t>
    <phoneticPr fontId="2" type="noConversion"/>
  </si>
  <si>
    <t>PHC
(본)</t>
    <phoneticPr fontId="2" type="noConversion"/>
  </si>
  <si>
    <t>CIP
(본)</t>
    <phoneticPr fontId="2" type="noConversion"/>
  </si>
  <si>
    <t>Soil Nailing
(공)</t>
    <phoneticPr fontId="2" type="noConversion"/>
  </si>
  <si>
    <t>물량11</t>
  </si>
  <si>
    <t>PC
(m3)</t>
    <phoneticPr fontId="2" type="noConversion"/>
  </si>
  <si>
    <t>천공기</t>
    <phoneticPr fontId="2" type="noConversion"/>
  </si>
  <si>
    <t>H-PILE
(EA)</t>
    <phoneticPr fontId="2" type="noConversion"/>
  </si>
  <si>
    <t>204M/17M</t>
    <phoneticPr fontId="2" type="noConversion"/>
  </si>
  <si>
    <t>4,182M</t>
    <phoneticPr fontId="2" type="noConversion"/>
  </si>
  <si>
    <t>4,481M</t>
    <phoneticPr fontId="2" type="noConversion"/>
  </si>
  <si>
    <t>합성보</t>
    <phoneticPr fontId="2" type="noConversion"/>
  </si>
  <si>
    <t>익스펜디드메탈</t>
    <phoneticPr fontId="2" type="noConversion"/>
  </si>
  <si>
    <t>토공사 제외
지하2층 바닥 SOG</t>
    <phoneticPr fontId="2" type="noConversion"/>
  </si>
  <si>
    <t>특성1</t>
    <phoneticPr fontId="2" type="noConversion"/>
  </si>
  <si>
    <t>특성2</t>
    <phoneticPr fontId="2" type="noConversion"/>
  </si>
  <si>
    <t>특성3</t>
  </si>
  <si>
    <t>특성4</t>
  </si>
  <si>
    <t>특성5</t>
  </si>
  <si>
    <t>특성6</t>
  </si>
  <si>
    <t>특성7</t>
  </si>
  <si>
    <t>특성8</t>
  </si>
  <si>
    <t>특성9</t>
  </si>
  <si>
    <t>특성10</t>
  </si>
  <si>
    <t>특성11</t>
  </si>
  <si>
    <t>특성12</t>
  </si>
  <si>
    <t>특성13</t>
  </si>
  <si>
    <t>특성14</t>
  </si>
  <si>
    <t>특성15</t>
  </si>
  <si>
    <t>특성16</t>
  </si>
  <si>
    <t>특성17</t>
  </si>
  <si>
    <t>특성18</t>
  </si>
  <si>
    <t>특성19</t>
  </si>
  <si>
    <t>특성20</t>
  </si>
  <si>
    <t>특성21</t>
  </si>
  <si>
    <t>공법1</t>
    <phoneticPr fontId="2" type="noConversion"/>
  </si>
  <si>
    <t>공법2</t>
    <phoneticPr fontId="2" type="noConversion"/>
  </si>
  <si>
    <t>공법3</t>
  </si>
  <si>
    <t>공법4</t>
  </si>
  <si>
    <t>공법5</t>
  </si>
  <si>
    <t>공법6</t>
  </si>
  <si>
    <t>공법7</t>
  </si>
  <si>
    <t>공법8</t>
  </si>
  <si>
    <t>공법9</t>
  </si>
  <si>
    <t>공법10</t>
  </si>
  <si>
    <t>공법11</t>
  </si>
  <si>
    <t>공법12</t>
  </si>
  <si>
    <t>공법13</t>
  </si>
  <si>
    <t>공법14</t>
  </si>
  <si>
    <t>공법15</t>
  </si>
  <si>
    <t>공법16</t>
  </si>
  <si>
    <t>물량12</t>
  </si>
  <si>
    <t>물량13</t>
  </si>
  <si>
    <t>물량14</t>
  </si>
  <si>
    <t>물량15</t>
  </si>
  <si>
    <t>물량16</t>
  </si>
  <si>
    <t>물량17</t>
  </si>
  <si>
    <t>물량18</t>
  </si>
  <si>
    <t>기간1</t>
    <phoneticPr fontId="2" type="noConversion"/>
  </si>
  <si>
    <t>기간2</t>
    <phoneticPr fontId="2" type="noConversion"/>
  </si>
  <si>
    <t>기간3</t>
  </si>
  <si>
    <t>기간4</t>
  </si>
  <si>
    <t>기간5</t>
  </si>
  <si>
    <t>기간6</t>
  </si>
  <si>
    <t>기간7</t>
  </si>
  <si>
    <t>기간8</t>
  </si>
  <si>
    <t>-</t>
  </si>
  <si>
    <t/>
  </si>
  <si>
    <t>H-PILE/토류판</t>
  </si>
  <si>
    <t>H-PILE/토류판</t>
    <phoneticPr fontId="2" type="noConversion"/>
  </si>
  <si>
    <t>H-PILE/콘크리트 토류벽</t>
    <phoneticPr fontId="2" type="noConversion"/>
  </si>
  <si>
    <t>H-PILE/CIP</t>
  </si>
  <si>
    <t>H-PILE/CIP</t>
    <phoneticPr fontId="2" type="noConversion"/>
  </si>
  <si>
    <t>SP-PILE/CIP</t>
  </si>
  <si>
    <t>SP-PILE/CIP</t>
    <phoneticPr fontId="2" type="noConversion"/>
  </si>
  <si>
    <t xml:space="preserve"> H-PILE/어스앙카</t>
  </si>
  <si>
    <t xml:space="preserve"> H-PILE/어스앙카</t>
    <phoneticPr fontId="2" type="noConversion"/>
  </si>
  <si>
    <t xml:space="preserve"> H-PILE/STRUT</t>
    <phoneticPr fontId="2" type="noConversion"/>
  </si>
  <si>
    <t>어스앙카</t>
  </si>
  <si>
    <t>TPS/토류판</t>
    <phoneticPr fontId="2" type="noConversion"/>
  </si>
  <si>
    <t>AL시트판넬</t>
  </si>
  <si>
    <t>AL복합판넬</t>
  </si>
  <si>
    <t>AL Sun Shade</t>
    <phoneticPr fontId="2" type="noConversion"/>
  </si>
  <si>
    <t>석재</t>
  </si>
  <si>
    <t>세라믹판넬</t>
  </si>
  <si>
    <t>AL루버</t>
  </si>
  <si>
    <t>박판세라믹판넬</t>
    <phoneticPr fontId="2" type="noConversion"/>
  </si>
  <si>
    <t>익스펜디드메탈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</si>
</sst>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;[Red]\-#,##0\ "/>
    <numFmt numFmtId="177" formatCode="#,##0.0_ ;[Red]\-#,##0.0\ "/>
    <numFmt numFmtId="178" formatCode="#,##0.00_ ;[Red]\-#,##0.00\ 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CJ ONLYONE NEW 본문 Light"/>
      <family val="3"/>
      <charset val="129"/>
    </font>
    <font>
      <sz val="12"/>
      <name val="CJ ONLYONE NEW 본문 Light"/>
      <family val="3"/>
      <charset val="129"/>
    </font>
    <font>
      <sz val="12"/>
      <color rgb="FFFF0000"/>
      <name val="CJ ONLYONE NEW 본문 Light"/>
      <family val="3"/>
      <charset val="129"/>
    </font>
    <font>
      <sz val="12"/>
      <color indexed="8"/>
      <name val="CJ ONLYONE NEW 본문 Light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</cellStyleXfs>
  <cellXfs count="114">
    <xf numFmtId="0" fontId="0" fillId="0" borderId="0" xfId="0">
      <alignment vertical="center"/>
    </xf>
    <xf numFmtId="0" fontId="4" fillId="11" borderId="1" xfId="1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5" borderId="1" xfId="1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7" borderId="1" xfId="1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4" fillId="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4" fillId="11" borderId="1" xfId="0" applyFont="1" applyFill="1" applyBorder="1">
      <alignment vertical="center"/>
    </xf>
    <xf numFmtId="0" fontId="6" fillId="11" borderId="1" xfId="0" applyFont="1" applyFill="1" applyBorder="1" applyAlignment="1">
      <alignment vertical="center" wrapText="1"/>
    </xf>
    <xf numFmtId="0" fontId="3" fillId="11" borderId="1" xfId="0" applyFont="1" applyFill="1" applyBorder="1">
      <alignment vertical="center"/>
    </xf>
    <xf numFmtId="0" fontId="4" fillId="11" borderId="1" xfId="0" applyFont="1" applyFill="1" applyBorder="1" applyAlignment="1">
      <alignment vertical="center" wrapText="1"/>
    </xf>
    <xf numFmtId="0" fontId="3" fillId="11" borderId="0" xfId="0" applyFont="1" applyFill="1">
      <alignment vertical="center"/>
    </xf>
    <xf numFmtId="0" fontId="3" fillId="11" borderId="1" xfId="0" applyFont="1" applyFill="1" applyBorder="1" applyAlignment="1">
      <alignment vertical="center" wrapText="1"/>
    </xf>
    <xf numFmtId="0" fontId="3" fillId="0" borderId="1" xfId="0" quotePrefix="1" applyFont="1" applyBorder="1">
      <alignment vertical="center"/>
    </xf>
    <xf numFmtId="0" fontId="4" fillId="12" borderId="1" xfId="0" applyFont="1" applyFill="1" applyBorder="1">
      <alignment vertical="center"/>
    </xf>
    <xf numFmtId="0" fontId="6" fillId="12" borderId="1" xfId="0" applyFont="1" applyFill="1" applyBorder="1" applyAlignment="1">
      <alignment vertical="center" wrapText="1"/>
    </xf>
    <xf numFmtId="0" fontId="3" fillId="12" borderId="1" xfId="0" applyFont="1" applyFill="1" applyBorder="1">
      <alignment vertical="center"/>
    </xf>
    <xf numFmtId="0" fontId="4" fillId="12" borderId="1" xfId="0" applyFont="1" applyFill="1" applyBorder="1" applyAlignment="1">
      <alignment vertical="center" wrapText="1"/>
    </xf>
    <xf numFmtId="0" fontId="3" fillId="12" borderId="0" xfId="0" applyFont="1" applyFill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8" borderId="1" xfId="0" applyFont="1" applyFill="1" applyBorder="1">
      <alignment vertical="center"/>
    </xf>
    <xf numFmtId="0" fontId="6" fillId="8" borderId="1" xfId="0" applyFont="1" applyFill="1" applyBorder="1" applyAlignment="1">
      <alignment vertical="center" wrapText="1"/>
    </xf>
    <xf numFmtId="0" fontId="3" fillId="8" borderId="1" xfId="0" applyFont="1" applyFill="1" applyBorder="1">
      <alignment vertical="center"/>
    </xf>
    <xf numFmtId="0" fontId="4" fillId="8" borderId="1" xfId="0" applyFont="1" applyFill="1" applyBorder="1" applyAlignment="1">
      <alignment vertical="center" wrapText="1"/>
    </xf>
    <xf numFmtId="0" fontId="3" fillId="8" borderId="0" xfId="0" applyFont="1" applyFill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0" xfId="1" applyNumberFormat="1" applyFont="1" applyAlignment="1">
      <alignment vertical="center"/>
    </xf>
    <xf numFmtId="176" fontId="4" fillId="0" borderId="1" xfId="1" applyNumberFormat="1" applyFont="1" applyFill="1" applyBorder="1" applyAlignment="1">
      <alignment vertical="center"/>
    </xf>
    <xf numFmtId="176" fontId="4" fillId="11" borderId="1" xfId="1" applyNumberFormat="1" applyFont="1" applyFill="1" applyBorder="1" applyAlignment="1">
      <alignment vertical="center"/>
    </xf>
    <xf numFmtId="176" fontId="3" fillId="0" borderId="1" xfId="1" quotePrefix="1" applyNumberFormat="1" applyFont="1" applyFill="1" applyBorder="1" applyAlignment="1">
      <alignment vertical="center"/>
    </xf>
    <xf numFmtId="176" fontId="4" fillId="12" borderId="1" xfId="1" applyNumberFormat="1" applyFont="1" applyFill="1" applyBorder="1" applyAlignment="1">
      <alignment vertical="center"/>
    </xf>
    <xf numFmtId="176" fontId="4" fillId="8" borderId="1" xfId="1" applyNumberFormat="1" applyFont="1" applyFill="1" applyBorder="1" applyAlignment="1">
      <alignment vertical="center"/>
    </xf>
    <xf numFmtId="176" fontId="4" fillId="0" borderId="1" xfId="0" applyNumberFormat="1" applyFont="1" applyBorder="1">
      <alignment vertical="center"/>
    </xf>
    <xf numFmtId="176" fontId="4" fillId="8" borderId="1" xfId="0" applyNumberFormat="1" applyFont="1" applyFill="1" applyBorder="1">
      <alignment vertical="center"/>
    </xf>
    <xf numFmtId="176" fontId="4" fillId="11" borderId="1" xfId="0" applyNumberFormat="1" applyFont="1" applyFill="1" applyBorder="1">
      <alignment vertical="center"/>
    </xf>
    <xf numFmtId="176" fontId="4" fillId="12" borderId="1" xfId="0" applyNumberFormat="1" applyFont="1" applyFill="1" applyBorder="1">
      <alignment vertical="center"/>
    </xf>
    <xf numFmtId="176" fontId="5" fillId="0" borderId="1" xfId="0" applyNumberFormat="1" applyFont="1" applyBorder="1">
      <alignment vertical="center"/>
    </xf>
    <xf numFmtId="176" fontId="3" fillId="0" borderId="1" xfId="1" applyNumberFormat="1" applyFont="1" applyFill="1" applyBorder="1" applyAlignment="1">
      <alignment vertical="center"/>
    </xf>
    <xf numFmtId="176" fontId="3" fillId="0" borderId="1" xfId="0" applyNumberFormat="1" applyFont="1" applyBorder="1">
      <alignment vertical="center"/>
    </xf>
    <xf numFmtId="176" fontId="5" fillId="0" borderId="1" xfId="1" applyNumberFormat="1" applyFont="1" applyBorder="1" applyAlignment="1">
      <alignment vertical="center"/>
    </xf>
    <xf numFmtId="176" fontId="5" fillId="0" borderId="1" xfId="1" applyNumberFormat="1" applyFont="1" applyFill="1" applyBorder="1" applyAlignment="1">
      <alignment vertical="center"/>
    </xf>
    <xf numFmtId="176" fontId="3" fillId="0" borderId="1" xfId="1" applyNumberFormat="1" applyFont="1" applyBorder="1" applyAlignment="1">
      <alignment vertical="center"/>
    </xf>
    <xf numFmtId="176" fontId="3" fillId="8" borderId="1" xfId="1" applyNumberFormat="1" applyFont="1" applyFill="1" applyBorder="1" applyAlignment="1">
      <alignment vertical="center"/>
    </xf>
    <xf numFmtId="176" fontId="3" fillId="8" borderId="1" xfId="0" applyNumberFormat="1" applyFont="1" applyFill="1" applyBorder="1">
      <alignment vertical="center"/>
    </xf>
    <xf numFmtId="176" fontId="3" fillId="0" borderId="1" xfId="1" applyNumberFormat="1" applyFont="1" applyBorder="1" applyAlignment="1">
      <alignment vertical="center" wrapText="1"/>
    </xf>
    <xf numFmtId="176" fontId="3" fillId="0" borderId="1" xfId="0" applyNumberFormat="1" applyFont="1" applyBorder="1" applyAlignment="1">
      <alignment vertical="center" wrapText="1"/>
    </xf>
    <xf numFmtId="177" fontId="4" fillId="11" borderId="1" xfId="1" applyNumberFormat="1" applyFont="1" applyFill="1" applyBorder="1" applyAlignment="1">
      <alignment vertical="center"/>
    </xf>
    <xf numFmtId="177" fontId="4" fillId="12" borderId="1" xfId="1" applyNumberFormat="1" applyFont="1" applyFill="1" applyBorder="1" applyAlignment="1">
      <alignment vertical="center"/>
    </xf>
    <xf numFmtId="177" fontId="4" fillId="8" borderId="1" xfId="1" applyNumberFormat="1" applyFont="1" applyFill="1" applyBorder="1" applyAlignment="1">
      <alignment vertical="center"/>
    </xf>
    <xf numFmtId="178" fontId="4" fillId="0" borderId="1" xfId="1" applyNumberFormat="1" applyFont="1" applyBorder="1" applyAlignment="1">
      <alignment vertical="center"/>
    </xf>
    <xf numFmtId="178" fontId="4" fillId="11" borderId="1" xfId="1" applyNumberFormat="1" applyFont="1" applyFill="1" applyBorder="1" applyAlignment="1">
      <alignment vertical="center"/>
    </xf>
    <xf numFmtId="178" fontId="3" fillId="0" borderId="1" xfId="1" applyNumberFormat="1" applyFont="1" applyFill="1" applyBorder="1" applyAlignment="1">
      <alignment vertical="center"/>
    </xf>
    <xf numFmtId="178" fontId="4" fillId="12" borderId="1" xfId="1" applyNumberFormat="1" applyFont="1" applyFill="1" applyBorder="1" applyAlignment="1">
      <alignment vertical="center"/>
    </xf>
    <xf numFmtId="178" fontId="5" fillId="0" borderId="1" xfId="1" applyNumberFormat="1" applyFont="1" applyBorder="1" applyAlignment="1">
      <alignment vertical="center"/>
    </xf>
    <xf numFmtId="178" fontId="4" fillId="8" borderId="1" xfId="1" applyNumberFormat="1" applyFont="1" applyFill="1" applyBorder="1" applyAlignment="1">
      <alignment vertical="center"/>
    </xf>
    <xf numFmtId="178" fontId="3" fillId="0" borderId="1" xfId="1" applyNumberFormat="1" applyFont="1" applyBorder="1" applyAlignment="1">
      <alignment vertical="center"/>
    </xf>
    <xf numFmtId="178" fontId="3" fillId="8" borderId="1" xfId="1" applyNumberFormat="1" applyFont="1" applyFill="1" applyBorder="1" applyAlignment="1">
      <alignment vertical="center"/>
    </xf>
    <xf numFmtId="178" fontId="3" fillId="0" borderId="1" xfId="1" applyNumberFormat="1" applyFont="1" applyBorder="1" applyAlignment="1">
      <alignment vertical="center" wrapText="1"/>
    </xf>
    <xf numFmtId="177" fontId="4" fillId="0" borderId="1" xfId="1" applyNumberFormat="1" applyFont="1" applyFill="1" applyBorder="1" applyAlignment="1">
      <alignment vertical="center"/>
    </xf>
    <xf numFmtId="177" fontId="5" fillId="0" borderId="1" xfId="1" applyNumberFormat="1" applyFont="1" applyFill="1" applyBorder="1" applyAlignment="1">
      <alignment vertical="center"/>
    </xf>
    <xf numFmtId="178" fontId="4" fillId="0" borderId="1" xfId="1" applyNumberFormat="1" applyFont="1" applyFill="1" applyBorder="1" applyAlignment="1">
      <alignment vertical="center"/>
    </xf>
    <xf numFmtId="178" fontId="4" fillId="0" borderId="1" xfId="1" applyNumberFormat="1" applyFont="1" applyFill="1" applyBorder="1" applyAlignment="1">
      <alignment vertical="center" wrapText="1"/>
    </xf>
    <xf numFmtId="178" fontId="5" fillId="0" borderId="1" xfId="1" applyNumberFormat="1" applyFont="1" applyFill="1" applyBorder="1" applyAlignment="1">
      <alignment vertical="center"/>
    </xf>
    <xf numFmtId="178" fontId="3" fillId="0" borderId="1" xfId="1" applyNumberFormat="1" applyFont="1" applyFill="1" applyBorder="1" applyAlignment="1">
      <alignment vertical="center" wrapText="1"/>
    </xf>
    <xf numFmtId="176" fontId="4" fillId="0" borderId="1" xfId="0" applyNumberFormat="1" applyFont="1" applyBorder="1" applyAlignment="1">
      <alignment vertical="center" wrapText="1"/>
    </xf>
    <xf numFmtId="176" fontId="4" fillId="11" borderId="1" xfId="0" applyNumberFormat="1" applyFont="1" applyFill="1" applyBorder="1" applyAlignment="1">
      <alignment vertical="center" wrapText="1"/>
    </xf>
    <xf numFmtId="176" fontId="4" fillId="9" borderId="1" xfId="0" applyNumberFormat="1" applyFont="1" applyFill="1" applyBorder="1" applyAlignment="1">
      <alignment vertical="center" wrapText="1"/>
    </xf>
    <xf numFmtId="176" fontId="4" fillId="12" borderId="1" xfId="0" applyNumberFormat="1" applyFont="1" applyFill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176" fontId="4" fillId="8" borderId="1" xfId="0" applyNumberFormat="1" applyFont="1" applyFill="1" applyBorder="1" applyAlignment="1">
      <alignment vertical="center" wrapText="1"/>
    </xf>
    <xf numFmtId="176" fontId="4" fillId="9" borderId="1" xfId="1" applyNumberFormat="1" applyFont="1" applyFill="1" applyBorder="1" applyAlignment="1">
      <alignment vertical="center" wrapText="1"/>
    </xf>
    <xf numFmtId="176" fontId="4" fillId="0" borderId="1" xfId="1" applyNumberFormat="1" applyFont="1" applyBorder="1" applyAlignment="1">
      <alignment vertical="center" wrapText="1"/>
    </xf>
    <xf numFmtId="176" fontId="4" fillId="10" borderId="1" xfId="0" applyNumberFormat="1" applyFont="1" applyFill="1" applyBorder="1" applyAlignment="1">
      <alignment vertical="center" wrapText="1"/>
    </xf>
    <xf numFmtId="176" fontId="4" fillId="11" borderId="1" xfId="1" applyNumberFormat="1" applyFont="1" applyFill="1" applyBorder="1" applyAlignment="1">
      <alignment vertical="center" wrapText="1"/>
    </xf>
    <xf numFmtId="176" fontId="3" fillId="9" borderId="1" xfId="1" applyNumberFormat="1" applyFont="1" applyFill="1" applyBorder="1" applyAlignment="1">
      <alignment vertical="center" wrapText="1"/>
    </xf>
    <xf numFmtId="176" fontId="3" fillId="9" borderId="1" xfId="0" applyNumberFormat="1" applyFont="1" applyFill="1" applyBorder="1">
      <alignment vertical="center"/>
    </xf>
    <xf numFmtId="176" fontId="3" fillId="9" borderId="1" xfId="1" applyNumberFormat="1" applyFont="1" applyFill="1" applyBorder="1" applyAlignment="1">
      <alignment vertical="center"/>
    </xf>
    <xf numFmtId="176" fontId="4" fillId="12" borderId="1" xfId="1" applyNumberFormat="1" applyFont="1" applyFill="1" applyBorder="1" applyAlignment="1">
      <alignment vertical="center" wrapText="1"/>
    </xf>
    <xf numFmtId="176" fontId="5" fillId="0" borderId="1" xfId="1" applyNumberFormat="1" applyFont="1" applyBorder="1" applyAlignment="1">
      <alignment vertical="center" wrapText="1"/>
    </xf>
    <xf numFmtId="176" fontId="4" fillId="8" borderId="1" xfId="1" applyNumberFormat="1" applyFont="1" applyFill="1" applyBorder="1" applyAlignment="1">
      <alignment vertical="center" wrapText="1"/>
    </xf>
    <xf numFmtId="177" fontId="4" fillId="0" borderId="1" xfId="0" applyNumberFormat="1" applyFont="1" applyBorder="1">
      <alignment vertical="center"/>
    </xf>
    <xf numFmtId="177" fontId="4" fillId="0" borderId="1" xfId="0" applyNumberFormat="1" applyFont="1" applyBorder="1" applyAlignment="1">
      <alignment vertical="center" wrapText="1"/>
    </xf>
    <xf numFmtId="177" fontId="4" fillId="11" borderId="1" xfId="0" applyNumberFormat="1" applyFont="1" applyFill="1" applyBorder="1">
      <alignment vertical="center"/>
    </xf>
    <xf numFmtId="177" fontId="4" fillId="11" borderId="1" xfId="0" applyNumberFormat="1" applyFont="1" applyFill="1" applyBorder="1" applyAlignment="1">
      <alignment vertical="center" wrapText="1"/>
    </xf>
    <xf numFmtId="177" fontId="4" fillId="9" borderId="1" xfId="1" applyNumberFormat="1" applyFont="1" applyFill="1" applyBorder="1" applyAlignment="1">
      <alignment vertical="center"/>
    </xf>
    <xf numFmtId="177" fontId="3" fillId="0" borderId="1" xfId="0" applyNumberFormat="1" applyFont="1" applyBorder="1" applyAlignment="1">
      <alignment vertical="center" wrapText="1"/>
    </xf>
    <xf numFmtId="177" fontId="3" fillId="0" borderId="1" xfId="0" applyNumberFormat="1" applyFont="1" applyBorder="1">
      <alignment vertical="center"/>
    </xf>
    <xf numFmtId="177" fontId="4" fillId="12" borderId="1" xfId="0" applyNumberFormat="1" applyFont="1" applyFill="1" applyBorder="1">
      <alignment vertical="center"/>
    </xf>
    <xf numFmtId="177" fontId="4" fillId="12" borderId="1" xfId="0" applyNumberFormat="1" applyFont="1" applyFill="1" applyBorder="1" applyAlignment="1">
      <alignment vertical="center" wrapText="1"/>
    </xf>
    <xf numFmtId="177" fontId="5" fillId="0" borderId="1" xfId="0" applyNumberFormat="1" applyFont="1" applyBorder="1">
      <alignment vertical="center"/>
    </xf>
    <xf numFmtId="177" fontId="4" fillId="8" borderId="1" xfId="0" applyNumberFormat="1" applyFont="1" applyFill="1" applyBorder="1">
      <alignment vertical="center"/>
    </xf>
    <xf numFmtId="177" fontId="4" fillId="8" borderId="1" xfId="0" applyNumberFormat="1" applyFont="1" applyFill="1" applyBorder="1" applyAlignment="1">
      <alignment vertical="center" wrapText="1"/>
    </xf>
    <xf numFmtId="177" fontId="3" fillId="8" borderId="1" xfId="0" applyNumberFormat="1" applyFont="1" applyFill="1" applyBorder="1">
      <alignment vertical="center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colors>
    <mruColors>
      <color rgb="FF66FFFF"/>
      <color rgb="FFFFCCFF"/>
      <color rgb="FF00FF00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DB55-CBDD-4F89-BD9F-759A1F2DAFB6}">
  <sheetPr>
    <pageSetUpPr fitToPage="1"/>
  </sheetPr>
  <dimension ref="A1:BL212"/>
  <sheetViews>
    <sheetView tabSelected="1" zoomScale="55" zoomScaleNormal="55" zoomScaleSheetLayoutView="55" workbookViewId="0">
      <pane xSplit="6" ySplit="2" topLeftCell="BB3" activePane="bottomRight" state="frozen"/>
      <selection pane="topRight" activeCell="E1" sqref="E1"/>
      <selection pane="bottomLeft" activeCell="A4" sqref="A4"/>
      <selection pane="bottomRight" activeCell="F6" sqref="F6"/>
    </sheetView>
  </sheetViews>
  <sheetFormatPr defaultColWidth="8.75" defaultRowHeight="16.5" x14ac:dyDescent="0.3"/>
  <cols>
    <col min="1" max="1" width="7.625" style="9" customWidth="1"/>
    <col min="2" max="2" width="15.125" style="9" customWidth="1"/>
    <col min="3" max="3" width="11.75" style="9" customWidth="1"/>
    <col min="4" max="4" width="13.75" style="9" customWidth="1"/>
    <col min="5" max="5" width="54.875" style="9" customWidth="1"/>
    <col min="6" max="6" width="50.375" style="9" customWidth="1"/>
    <col min="7" max="7" width="11.75" style="9" customWidth="1"/>
    <col min="8" max="8" width="24.5" style="9" customWidth="1"/>
    <col min="9" max="9" width="10.75" style="9" customWidth="1"/>
    <col min="10" max="10" width="18.375" style="47" customWidth="1"/>
    <col min="11" max="11" width="10.75" style="9" customWidth="1"/>
    <col min="12" max="14" width="11.75" style="9" customWidth="1"/>
    <col min="15" max="15" width="14.75" style="9" customWidth="1"/>
    <col min="16" max="16" width="15.75" style="9" customWidth="1"/>
    <col min="17" max="19" width="15.625" style="47" customWidth="1"/>
    <col min="20" max="21" width="9.625" style="9" customWidth="1"/>
    <col min="22" max="24" width="12.625" style="9" customWidth="1"/>
    <col min="25" max="31" width="18.625" style="9" customWidth="1"/>
    <col min="32" max="37" width="15.625" style="9" customWidth="1"/>
    <col min="38" max="44" width="15.625" style="47" customWidth="1"/>
    <col min="45" max="50" width="15.625" style="9" customWidth="1"/>
    <col min="51" max="51" width="15.625" style="47" customWidth="1"/>
    <col min="52" max="53" width="15.625" style="9" customWidth="1"/>
    <col min="54" max="55" width="15.625" style="47" customWidth="1"/>
    <col min="56" max="57" width="12.625" style="9" customWidth="1"/>
    <col min="58" max="62" width="12.625" style="47" customWidth="1"/>
    <col min="63" max="63" width="12.625" style="9" customWidth="1"/>
    <col min="64" max="64" width="29.125" style="9" customWidth="1"/>
    <col min="65" max="16384" width="8.75" style="9"/>
  </cols>
  <sheetData>
    <row r="1" spans="1:64" ht="36" customHeight="1" x14ac:dyDescent="0.3">
      <c r="A1" s="2" t="s">
        <v>1142</v>
      </c>
      <c r="B1" s="2" t="s">
        <v>1143</v>
      </c>
      <c r="C1" s="2" t="s">
        <v>1144</v>
      </c>
      <c r="D1" s="2" t="s">
        <v>1145</v>
      </c>
      <c r="E1" s="2" t="s">
        <v>1146</v>
      </c>
      <c r="F1" s="2" t="s">
        <v>1147</v>
      </c>
      <c r="G1" s="2" t="s">
        <v>1148</v>
      </c>
      <c r="H1" s="2" t="s">
        <v>1149</v>
      </c>
      <c r="I1" s="2" t="s">
        <v>1150</v>
      </c>
      <c r="J1" s="2" t="s">
        <v>1151</v>
      </c>
      <c r="K1" s="2" t="s">
        <v>1152</v>
      </c>
      <c r="L1" s="2" t="s">
        <v>1153</v>
      </c>
      <c r="M1" s="2" t="s">
        <v>1154</v>
      </c>
      <c r="N1" s="2" t="s">
        <v>1155</v>
      </c>
      <c r="O1" s="2" t="s">
        <v>1156</v>
      </c>
      <c r="P1" s="2" t="s">
        <v>1157</v>
      </c>
      <c r="Q1" s="2" t="s">
        <v>1158</v>
      </c>
      <c r="R1" s="2" t="s">
        <v>1159</v>
      </c>
      <c r="S1" s="2" t="s">
        <v>1160</v>
      </c>
      <c r="T1" s="2" t="s">
        <v>1161</v>
      </c>
      <c r="U1" s="2" t="s">
        <v>1162</v>
      </c>
      <c r="V1" s="3" t="s">
        <v>1163</v>
      </c>
      <c r="W1" s="3" t="s">
        <v>1164</v>
      </c>
      <c r="X1" s="3" t="s">
        <v>1165</v>
      </c>
      <c r="Y1" s="3" t="s">
        <v>1166</v>
      </c>
      <c r="Z1" s="3" t="s">
        <v>1167</v>
      </c>
      <c r="AA1" s="3" t="s">
        <v>1168</v>
      </c>
      <c r="AB1" s="3" t="s">
        <v>1169</v>
      </c>
      <c r="AC1" s="3" t="s">
        <v>1170</v>
      </c>
      <c r="AD1" s="3" t="s">
        <v>1171</v>
      </c>
      <c r="AE1" s="3" t="s">
        <v>1172</v>
      </c>
      <c r="AF1" s="3" t="s">
        <v>1173</v>
      </c>
      <c r="AG1" s="3" t="s">
        <v>1174</v>
      </c>
      <c r="AH1" s="3" t="s">
        <v>1175</v>
      </c>
      <c r="AI1" s="3" t="s">
        <v>1176</v>
      </c>
      <c r="AJ1" s="3" t="s">
        <v>1177</v>
      </c>
      <c r="AK1" s="3" t="s">
        <v>1178</v>
      </c>
      <c r="AL1" s="4" t="s">
        <v>1110</v>
      </c>
      <c r="AM1" s="5" t="s">
        <v>1119</v>
      </c>
      <c r="AN1" s="4" t="s">
        <v>1113</v>
      </c>
      <c r="AO1" s="5" t="s">
        <v>1114</v>
      </c>
      <c r="AP1" s="4" t="s">
        <v>1117</v>
      </c>
      <c r="AQ1" s="5" t="s">
        <v>1121</v>
      </c>
      <c r="AR1" s="4" t="s">
        <v>1122</v>
      </c>
      <c r="AS1" s="5" t="s">
        <v>1123</v>
      </c>
      <c r="AT1" s="4" t="s">
        <v>1124</v>
      </c>
      <c r="AU1" s="5" t="s">
        <v>1127</v>
      </c>
      <c r="AV1" s="4" t="s">
        <v>1132</v>
      </c>
      <c r="AW1" s="5" t="s">
        <v>1179</v>
      </c>
      <c r="AX1" s="4" t="s">
        <v>1180</v>
      </c>
      <c r="AY1" s="5" t="s">
        <v>1181</v>
      </c>
      <c r="AZ1" s="4" t="s">
        <v>1182</v>
      </c>
      <c r="BA1" s="5" t="s">
        <v>1183</v>
      </c>
      <c r="BB1" s="4" t="s">
        <v>1184</v>
      </c>
      <c r="BC1" s="5" t="s">
        <v>1185</v>
      </c>
      <c r="BD1" s="6" t="s">
        <v>1186</v>
      </c>
      <c r="BE1" s="6" t="s">
        <v>1187</v>
      </c>
      <c r="BF1" s="6" t="s">
        <v>1188</v>
      </c>
      <c r="BG1" s="6" t="s">
        <v>1189</v>
      </c>
      <c r="BH1" s="6" t="s">
        <v>1190</v>
      </c>
      <c r="BI1" s="6" t="s">
        <v>1191</v>
      </c>
      <c r="BJ1" s="6" t="s">
        <v>1192</v>
      </c>
      <c r="BK1" s="6" t="s">
        <v>1193</v>
      </c>
      <c r="BL1" s="8" t="s">
        <v>2</v>
      </c>
    </row>
    <row r="2" spans="1:64" ht="36" customHeight="1" x14ac:dyDescent="0.3">
      <c r="A2" s="2" t="s">
        <v>0</v>
      </c>
      <c r="B2" s="2" t="s">
        <v>708</v>
      </c>
      <c r="C2" s="2" t="s">
        <v>667</v>
      </c>
      <c r="D2" s="10" t="s">
        <v>689</v>
      </c>
      <c r="E2" s="11" t="s">
        <v>1</v>
      </c>
      <c r="F2" s="2" t="s">
        <v>204</v>
      </c>
      <c r="G2" s="2" t="s">
        <v>221</v>
      </c>
      <c r="H2" s="2" t="s">
        <v>690</v>
      </c>
      <c r="I2" s="2" t="s">
        <v>691</v>
      </c>
      <c r="J2" s="12" t="s">
        <v>692</v>
      </c>
      <c r="K2" s="2" t="s">
        <v>239</v>
      </c>
      <c r="L2" s="2" t="s">
        <v>80</v>
      </c>
      <c r="M2" s="2" t="s">
        <v>81</v>
      </c>
      <c r="N2" s="2" t="s">
        <v>82</v>
      </c>
      <c r="O2" s="2" t="s">
        <v>34</v>
      </c>
      <c r="P2" s="2" t="s">
        <v>707</v>
      </c>
      <c r="Q2" s="12" t="s">
        <v>263</v>
      </c>
      <c r="R2" s="12" t="s">
        <v>262</v>
      </c>
      <c r="S2" s="12" t="s">
        <v>83</v>
      </c>
      <c r="T2" s="2" t="s">
        <v>665</v>
      </c>
      <c r="U2" s="2" t="s">
        <v>666</v>
      </c>
      <c r="V2" s="3" t="s">
        <v>39</v>
      </c>
      <c r="W2" s="3" t="s">
        <v>40</v>
      </c>
      <c r="X2" s="3" t="s">
        <v>10</v>
      </c>
      <c r="Y2" s="3" t="s">
        <v>58</v>
      </c>
      <c r="Z2" s="3" t="s">
        <v>1051</v>
      </c>
      <c r="AA2" s="3" t="s">
        <v>1052</v>
      </c>
      <c r="AB2" s="3" t="s">
        <v>1060</v>
      </c>
      <c r="AC2" s="3" t="s">
        <v>1059</v>
      </c>
      <c r="AD2" s="3" t="s">
        <v>202</v>
      </c>
      <c r="AE2" s="3" t="s">
        <v>203</v>
      </c>
      <c r="AF2" s="3" t="s">
        <v>1107</v>
      </c>
      <c r="AG2" s="3" t="s">
        <v>1108</v>
      </c>
      <c r="AH2" s="3" t="s">
        <v>1116</v>
      </c>
      <c r="AI2" s="3" t="s">
        <v>1109</v>
      </c>
      <c r="AJ2" s="3" t="s">
        <v>653</v>
      </c>
      <c r="AK2" s="3" t="s">
        <v>654</v>
      </c>
      <c r="AL2" s="4" t="s">
        <v>618</v>
      </c>
      <c r="AM2" s="1" t="s">
        <v>270</v>
      </c>
      <c r="AN2" s="1" t="s">
        <v>271</v>
      </c>
      <c r="AO2" s="1" t="s">
        <v>327</v>
      </c>
      <c r="AP2" s="1" t="s">
        <v>272</v>
      </c>
      <c r="AQ2" s="1" t="s">
        <v>273</v>
      </c>
      <c r="AR2" s="4" t="s">
        <v>1111</v>
      </c>
      <c r="AS2" s="13" t="s">
        <v>1120</v>
      </c>
      <c r="AT2" s="13" t="s">
        <v>1130</v>
      </c>
      <c r="AU2" s="13" t="s">
        <v>1125</v>
      </c>
      <c r="AV2" s="13" t="s">
        <v>1135</v>
      </c>
      <c r="AW2" s="13" t="s">
        <v>1128</v>
      </c>
      <c r="AX2" s="13" t="s">
        <v>1126</v>
      </c>
      <c r="AY2" s="14" t="s">
        <v>1129</v>
      </c>
      <c r="AZ2" s="13" t="s">
        <v>1131</v>
      </c>
      <c r="BA2" s="13" t="s">
        <v>1133</v>
      </c>
      <c r="BB2" s="4" t="s">
        <v>1112</v>
      </c>
      <c r="BC2" s="4" t="s">
        <v>1115</v>
      </c>
      <c r="BD2" s="6" t="s">
        <v>668</v>
      </c>
      <c r="BE2" s="7" t="s">
        <v>618</v>
      </c>
      <c r="BF2" s="7" t="s">
        <v>652</v>
      </c>
      <c r="BG2" s="7" t="s">
        <v>653</v>
      </c>
      <c r="BH2" s="7" t="s">
        <v>24</v>
      </c>
      <c r="BI2" s="7" t="s">
        <v>654</v>
      </c>
      <c r="BJ2" s="7" t="s">
        <v>201</v>
      </c>
      <c r="BK2" s="7" t="s">
        <v>662</v>
      </c>
      <c r="BL2" s="8" t="s">
        <v>2</v>
      </c>
    </row>
    <row r="3" spans="1:64" ht="36" customHeight="1" x14ac:dyDescent="0.3">
      <c r="A3" s="15">
        <v>1</v>
      </c>
      <c r="B3" s="16" t="s">
        <v>709</v>
      </c>
      <c r="C3" s="16" t="s">
        <v>710</v>
      </c>
      <c r="D3" s="15">
        <v>2011</v>
      </c>
      <c r="E3" s="17" t="s">
        <v>656</v>
      </c>
      <c r="F3" s="18" t="s">
        <v>322</v>
      </c>
      <c r="G3" s="19" t="s">
        <v>225</v>
      </c>
      <c r="H3" s="48">
        <v>265822000000</v>
      </c>
      <c r="I3" s="53"/>
      <c r="J3" s="53"/>
      <c r="K3" s="18" t="s">
        <v>241</v>
      </c>
      <c r="L3" s="15" t="s">
        <v>91</v>
      </c>
      <c r="M3" s="15" t="s">
        <v>92</v>
      </c>
      <c r="N3" s="15" t="s">
        <v>199</v>
      </c>
      <c r="O3" s="15" t="s">
        <v>42</v>
      </c>
      <c r="P3" s="15" t="s">
        <v>6</v>
      </c>
      <c r="Q3" s="70">
        <v>35319.5</v>
      </c>
      <c r="R3" s="70">
        <v>11708.07</v>
      </c>
      <c r="S3" s="81">
        <v>109894.22</v>
      </c>
      <c r="T3" s="48">
        <v>3</v>
      </c>
      <c r="U3" s="53">
        <v>13</v>
      </c>
      <c r="V3" s="15" t="s">
        <v>18</v>
      </c>
      <c r="W3" s="18" t="s">
        <v>18</v>
      </c>
      <c r="X3" s="18" t="s">
        <v>9</v>
      </c>
      <c r="Y3" s="18"/>
      <c r="Z3" s="18"/>
      <c r="AA3" s="18"/>
      <c r="AB3" s="18"/>
      <c r="AC3" s="18"/>
      <c r="AD3" s="18" t="s">
        <v>1210</v>
      </c>
      <c r="AE3" s="18" t="s">
        <v>265</v>
      </c>
      <c r="AF3" s="18"/>
      <c r="AG3" s="85"/>
      <c r="AH3" s="18" t="s">
        <v>285</v>
      </c>
      <c r="AI3" s="87">
        <v>2</v>
      </c>
      <c r="AJ3" s="85"/>
      <c r="AK3" s="85"/>
      <c r="AL3" s="91">
        <f t="shared" ref="AL3:AL14" si="0">SUM(AM3:AQ3)</f>
        <v>236025</v>
      </c>
      <c r="AM3" s="91">
        <f>11112+191159+250+21466</f>
        <v>223987</v>
      </c>
      <c r="AN3" s="92"/>
      <c r="AO3" s="91">
        <f>1129+6059</f>
        <v>7188</v>
      </c>
      <c r="AP3" s="91">
        <f>4553+297</f>
        <v>4850</v>
      </c>
      <c r="AQ3" s="92"/>
      <c r="AR3" s="91">
        <f t="shared" ref="AR3:AR14" si="1">AL3</f>
        <v>236025</v>
      </c>
      <c r="AS3" s="85"/>
      <c r="AT3" s="85"/>
      <c r="AU3" s="85"/>
      <c r="AV3" s="85"/>
      <c r="AW3" s="85"/>
      <c r="AX3" s="85"/>
      <c r="AY3" s="91">
        <v>281</v>
      </c>
      <c r="AZ3" s="85"/>
      <c r="BA3" s="85"/>
      <c r="BB3" s="91">
        <f>45324+5554+3337+1380+1832+581+96+51+443+20+93+27+19</f>
        <v>58757</v>
      </c>
      <c r="BC3" s="91">
        <f>6377+363+155+622+22+10+14+919+75</f>
        <v>8557</v>
      </c>
      <c r="BD3" s="101">
        <v>37</v>
      </c>
      <c r="BE3" s="102"/>
      <c r="BF3" s="79"/>
      <c r="BG3" s="79"/>
      <c r="BH3" s="79"/>
      <c r="BI3" s="79"/>
      <c r="BJ3" s="79"/>
      <c r="BK3" s="79"/>
      <c r="BL3" s="15"/>
    </row>
    <row r="4" spans="1:64" ht="36" customHeight="1" x14ac:dyDescent="0.3">
      <c r="A4" s="15">
        <v>2</v>
      </c>
      <c r="B4" s="16" t="s">
        <v>711</v>
      </c>
      <c r="C4" s="16" t="s">
        <v>712</v>
      </c>
      <c r="D4" s="15">
        <v>2012</v>
      </c>
      <c r="E4" s="21" t="s">
        <v>278</v>
      </c>
      <c r="F4" s="18" t="s">
        <v>268</v>
      </c>
      <c r="G4" s="19" t="s">
        <v>225</v>
      </c>
      <c r="H4" s="48">
        <v>10380000000</v>
      </c>
      <c r="I4" s="53">
        <v>79.5</v>
      </c>
      <c r="J4" s="48">
        <v>1566792452.8301888</v>
      </c>
      <c r="K4" s="18" t="s">
        <v>241</v>
      </c>
      <c r="L4" s="15" t="s">
        <v>84</v>
      </c>
      <c r="M4" s="15" t="s">
        <v>85</v>
      </c>
      <c r="N4" s="15" t="s">
        <v>90</v>
      </c>
      <c r="O4" s="15" t="s">
        <v>42</v>
      </c>
      <c r="P4" s="15" t="s">
        <v>4</v>
      </c>
      <c r="Q4" s="70">
        <v>844</v>
      </c>
      <c r="R4" s="70">
        <v>704.6</v>
      </c>
      <c r="S4" s="81">
        <v>8794.08</v>
      </c>
      <c r="T4" s="48">
        <v>1</v>
      </c>
      <c r="U4" s="53">
        <v>14</v>
      </c>
      <c r="V4" s="15" t="s">
        <v>18</v>
      </c>
      <c r="W4" s="18" t="s">
        <v>18</v>
      </c>
      <c r="X4" s="18" t="s">
        <v>9</v>
      </c>
      <c r="Y4" s="18" t="s">
        <v>61</v>
      </c>
      <c r="Z4" s="18"/>
      <c r="AA4" s="18"/>
      <c r="AB4" s="18" t="s">
        <v>20</v>
      </c>
      <c r="AC4" s="18" t="s">
        <v>1197</v>
      </c>
      <c r="AD4" s="18" t="s">
        <v>267</v>
      </c>
      <c r="AE4" s="18" t="s">
        <v>265</v>
      </c>
      <c r="AF4" s="18"/>
      <c r="AG4" s="85"/>
      <c r="AH4" s="18" t="s">
        <v>264</v>
      </c>
      <c r="AI4" s="85"/>
      <c r="AJ4" s="85"/>
      <c r="AK4" s="85"/>
      <c r="AL4" s="91">
        <f t="shared" si="0"/>
        <v>6601</v>
      </c>
      <c r="AM4" s="91">
        <v>6601</v>
      </c>
      <c r="AN4" s="92"/>
      <c r="AO4" s="92"/>
      <c r="AP4" s="92"/>
      <c r="AQ4" s="92"/>
      <c r="AR4" s="91">
        <f t="shared" si="1"/>
        <v>6601</v>
      </c>
      <c r="AS4" s="85"/>
      <c r="AT4" s="87">
        <f>36+14+42+12</f>
        <v>104</v>
      </c>
      <c r="AU4" s="85"/>
      <c r="AV4" s="85"/>
      <c r="AW4" s="85"/>
      <c r="AX4" s="85"/>
      <c r="AY4" s="91">
        <v>316</v>
      </c>
      <c r="AZ4" s="85"/>
      <c r="BA4" s="85"/>
      <c r="BB4" s="91">
        <v>4462</v>
      </c>
      <c r="BC4" s="91">
        <v>626</v>
      </c>
      <c r="BD4" s="101">
        <v>15.5</v>
      </c>
      <c r="BE4" s="102">
        <f>412/30</f>
        <v>13.733333333333333</v>
      </c>
      <c r="BF4" s="79"/>
      <c r="BG4" s="79">
        <f>86/30</f>
        <v>2.8666666666666667</v>
      </c>
      <c r="BH4" s="79"/>
      <c r="BI4" s="79">
        <f>207/30</f>
        <v>6.9</v>
      </c>
      <c r="BJ4" s="79">
        <v>7</v>
      </c>
      <c r="BK4" s="79">
        <v>6.6</v>
      </c>
      <c r="BL4" s="15"/>
    </row>
    <row r="5" spans="1:64" ht="36" customHeight="1" x14ac:dyDescent="0.3">
      <c r="A5" s="15">
        <v>3</v>
      </c>
      <c r="B5" s="16" t="s">
        <v>713</v>
      </c>
      <c r="C5" s="22">
        <v>502064</v>
      </c>
      <c r="D5" s="15">
        <v>2012</v>
      </c>
      <c r="E5" s="17" t="s">
        <v>279</v>
      </c>
      <c r="F5" s="15" t="s">
        <v>269</v>
      </c>
      <c r="G5" s="19" t="s">
        <v>225</v>
      </c>
      <c r="H5" s="48">
        <v>10750000000</v>
      </c>
      <c r="I5" s="53">
        <v>112</v>
      </c>
      <c r="J5" s="48">
        <v>1151785714.2857141</v>
      </c>
      <c r="K5" s="18" t="s">
        <v>241</v>
      </c>
      <c r="L5" s="15" t="s">
        <v>86</v>
      </c>
      <c r="M5" s="15" t="s">
        <v>87</v>
      </c>
      <c r="N5" s="15" t="s">
        <v>90</v>
      </c>
      <c r="O5" s="15" t="s">
        <v>42</v>
      </c>
      <c r="P5" s="15" t="s">
        <v>4</v>
      </c>
      <c r="Q5" s="70">
        <v>1399.32</v>
      </c>
      <c r="R5" s="70">
        <v>698.39</v>
      </c>
      <c r="S5" s="81">
        <v>6734.34</v>
      </c>
      <c r="T5" s="48">
        <v>4</v>
      </c>
      <c r="U5" s="53">
        <v>6</v>
      </c>
      <c r="V5" s="15" t="s">
        <v>18</v>
      </c>
      <c r="W5" s="18" t="s">
        <v>16</v>
      </c>
      <c r="X5" s="18" t="s">
        <v>64</v>
      </c>
      <c r="Y5" s="18" t="s">
        <v>62</v>
      </c>
      <c r="Z5" s="18" t="s">
        <v>65</v>
      </c>
      <c r="AA5" s="18"/>
      <c r="AB5" s="18" t="s">
        <v>1196</v>
      </c>
      <c r="AC5" s="18"/>
      <c r="AD5" s="18" t="s">
        <v>260</v>
      </c>
      <c r="AE5" s="18" t="s">
        <v>265</v>
      </c>
      <c r="AF5" s="18"/>
      <c r="AG5" s="85"/>
      <c r="AH5" s="18" t="s">
        <v>264</v>
      </c>
      <c r="AI5" s="85"/>
      <c r="AJ5" s="85"/>
      <c r="AK5" s="85"/>
      <c r="AL5" s="91">
        <f t="shared" si="0"/>
        <v>14447</v>
      </c>
      <c r="AM5" s="92"/>
      <c r="AN5" s="91">
        <v>11108</v>
      </c>
      <c r="AO5" s="91">
        <v>1833</v>
      </c>
      <c r="AP5" s="91">
        <v>1506</v>
      </c>
      <c r="AQ5" s="92"/>
      <c r="AR5" s="91">
        <f t="shared" si="1"/>
        <v>14447</v>
      </c>
      <c r="AS5" s="85"/>
      <c r="AT5" s="93">
        <v>252</v>
      </c>
      <c r="AU5" s="85"/>
      <c r="AV5" s="85">
        <v>124</v>
      </c>
      <c r="AW5" s="85"/>
      <c r="AX5" s="85"/>
      <c r="AY5" s="92"/>
      <c r="AZ5" s="85"/>
      <c r="BA5" s="85"/>
      <c r="BB5" s="91">
        <f>3570+1478</f>
        <v>5048</v>
      </c>
      <c r="BC5" s="91">
        <v>157</v>
      </c>
      <c r="BD5" s="101">
        <v>19</v>
      </c>
      <c r="BE5" s="102">
        <f>557/30</f>
        <v>18.566666666666666</v>
      </c>
      <c r="BF5" s="79">
        <v>1</v>
      </c>
      <c r="BG5" s="79">
        <v>11</v>
      </c>
      <c r="BH5" s="79"/>
      <c r="BI5" s="79">
        <v>9.5</v>
      </c>
      <c r="BJ5" s="79">
        <v>4</v>
      </c>
      <c r="BK5" s="79">
        <v>5</v>
      </c>
      <c r="BL5" s="15" t="s">
        <v>44</v>
      </c>
    </row>
    <row r="6" spans="1:64" ht="36" customHeight="1" x14ac:dyDescent="0.3">
      <c r="A6" s="15">
        <v>4</v>
      </c>
      <c r="B6" s="16" t="s">
        <v>714</v>
      </c>
      <c r="C6" s="16" t="s">
        <v>715</v>
      </c>
      <c r="D6" s="15">
        <v>2013</v>
      </c>
      <c r="E6" s="17" t="s">
        <v>669</v>
      </c>
      <c r="F6" s="15" t="s">
        <v>274</v>
      </c>
      <c r="G6" s="19" t="s">
        <v>225</v>
      </c>
      <c r="H6" s="48">
        <v>10330000000</v>
      </c>
      <c r="I6" s="53">
        <v>75</v>
      </c>
      <c r="J6" s="48">
        <v>1652800000</v>
      </c>
      <c r="K6" s="18" t="s">
        <v>241</v>
      </c>
      <c r="L6" s="15" t="s">
        <v>88</v>
      </c>
      <c r="M6" s="15" t="s">
        <v>89</v>
      </c>
      <c r="N6" s="15" t="s">
        <v>90</v>
      </c>
      <c r="O6" s="15" t="s">
        <v>42</v>
      </c>
      <c r="P6" s="15" t="s">
        <v>4</v>
      </c>
      <c r="Q6" s="70">
        <v>17688.900000000001</v>
      </c>
      <c r="R6" s="70">
        <v>7068.47</v>
      </c>
      <c r="S6" s="81">
        <v>8399.77</v>
      </c>
      <c r="T6" s="48">
        <v>0</v>
      </c>
      <c r="U6" s="53">
        <v>2</v>
      </c>
      <c r="V6" s="15"/>
      <c r="W6" s="18" t="s">
        <v>1050</v>
      </c>
      <c r="X6" s="18" t="s">
        <v>9</v>
      </c>
      <c r="Y6" s="18" t="s">
        <v>62</v>
      </c>
      <c r="Z6" s="18"/>
      <c r="AA6" s="18"/>
      <c r="AB6" s="18"/>
      <c r="AC6" s="18"/>
      <c r="AD6" s="18" t="s">
        <v>267</v>
      </c>
      <c r="AE6" s="18"/>
      <c r="AF6" s="18"/>
      <c r="AG6" s="85"/>
      <c r="AH6" s="18" t="s">
        <v>285</v>
      </c>
      <c r="AI6" s="85"/>
      <c r="AJ6" s="85"/>
      <c r="AK6" s="85"/>
      <c r="AL6" s="91">
        <f t="shared" si="0"/>
        <v>52857</v>
      </c>
      <c r="AM6" s="91">
        <f>1268+2168+584+1268+1268+43935+1311+4+658+86+307</f>
        <v>52857</v>
      </c>
      <c r="AN6" s="92"/>
      <c r="AO6" s="92"/>
      <c r="AP6" s="92"/>
      <c r="AQ6" s="92"/>
      <c r="AR6" s="91">
        <f t="shared" si="1"/>
        <v>52857</v>
      </c>
      <c r="AS6" s="85"/>
      <c r="AT6" s="85"/>
      <c r="AU6" s="85"/>
      <c r="AV6" s="85"/>
      <c r="AW6" s="85"/>
      <c r="AX6" s="85"/>
      <c r="AY6" s="92"/>
      <c r="AZ6" s="85"/>
      <c r="BA6" s="85"/>
      <c r="BB6" s="91">
        <v>236</v>
      </c>
      <c r="BC6" s="91">
        <f>221+186+79+1+186+186+49</f>
        <v>908</v>
      </c>
      <c r="BD6" s="101">
        <v>9</v>
      </c>
      <c r="BE6" s="102">
        <v>9</v>
      </c>
      <c r="BF6" s="79"/>
      <c r="BG6" s="79">
        <f>215/30</f>
        <v>7.166666666666667</v>
      </c>
      <c r="BH6" s="79"/>
      <c r="BI6" s="79">
        <f>188/30</f>
        <v>6.2666666666666666</v>
      </c>
      <c r="BJ6" s="79">
        <f>165/30</f>
        <v>5.5</v>
      </c>
      <c r="BK6" s="79">
        <f>171/30</f>
        <v>5.7</v>
      </c>
      <c r="BL6" s="15"/>
    </row>
    <row r="7" spans="1:64" ht="36" customHeight="1" x14ac:dyDescent="0.3">
      <c r="A7" s="15">
        <v>5</v>
      </c>
      <c r="B7" s="16" t="s">
        <v>716</v>
      </c>
      <c r="C7" s="16" t="s">
        <v>717</v>
      </c>
      <c r="D7" s="15">
        <v>2013</v>
      </c>
      <c r="E7" s="17" t="s">
        <v>277</v>
      </c>
      <c r="F7" s="15" t="s">
        <v>275</v>
      </c>
      <c r="G7" s="19" t="s">
        <v>225</v>
      </c>
      <c r="H7" s="48">
        <v>17978000000</v>
      </c>
      <c r="I7" s="53">
        <v>135</v>
      </c>
      <c r="J7" s="48">
        <v>1598044444.4444444</v>
      </c>
      <c r="K7" s="18" t="s">
        <v>241</v>
      </c>
      <c r="L7" s="15" t="s">
        <v>91</v>
      </c>
      <c r="M7" s="15" t="s">
        <v>92</v>
      </c>
      <c r="N7" s="15" t="s">
        <v>199</v>
      </c>
      <c r="O7" s="15" t="s">
        <v>42</v>
      </c>
      <c r="P7" s="15" t="s">
        <v>4</v>
      </c>
      <c r="Q7" s="70">
        <v>2926.7</v>
      </c>
      <c r="R7" s="70">
        <v>1512.75</v>
      </c>
      <c r="S7" s="81">
        <v>18369.75</v>
      </c>
      <c r="T7" s="48">
        <v>3</v>
      </c>
      <c r="U7" s="53">
        <v>9</v>
      </c>
      <c r="V7" s="15" t="s">
        <v>16</v>
      </c>
      <c r="W7" s="18" t="s">
        <v>16</v>
      </c>
      <c r="X7" s="18" t="s">
        <v>9</v>
      </c>
      <c r="Y7" s="18" t="s">
        <v>62</v>
      </c>
      <c r="Z7" s="18"/>
      <c r="AA7" s="18"/>
      <c r="AB7" s="18" t="s">
        <v>20</v>
      </c>
      <c r="AC7" s="18"/>
      <c r="AD7" s="18" t="s">
        <v>260</v>
      </c>
      <c r="AE7" s="18" t="s">
        <v>265</v>
      </c>
      <c r="AF7" s="18"/>
      <c r="AG7" s="85"/>
      <c r="AH7" s="18" t="s">
        <v>264</v>
      </c>
      <c r="AI7" s="85"/>
      <c r="AJ7" s="85"/>
      <c r="AK7" s="85"/>
      <c r="AL7" s="91">
        <f t="shared" si="0"/>
        <v>23330</v>
      </c>
      <c r="AM7" s="91">
        <f>1646+20210</f>
        <v>21856</v>
      </c>
      <c r="AN7" s="92"/>
      <c r="AO7" s="91">
        <v>1474</v>
      </c>
      <c r="AP7" s="92"/>
      <c r="AQ7" s="92"/>
      <c r="AR7" s="91">
        <f t="shared" si="1"/>
        <v>23330</v>
      </c>
      <c r="AS7" s="85"/>
      <c r="AT7" s="87">
        <v>384</v>
      </c>
      <c r="AU7" s="85"/>
      <c r="AV7" s="85"/>
      <c r="AW7" s="85"/>
      <c r="AX7" s="85"/>
      <c r="AY7" s="92"/>
      <c r="AZ7" s="85"/>
      <c r="BA7" s="85"/>
      <c r="BB7" s="91">
        <v>10451</v>
      </c>
      <c r="BC7" s="91">
        <v>31</v>
      </c>
      <c r="BD7" s="101">
        <v>21</v>
      </c>
      <c r="BE7" s="102">
        <v>21</v>
      </c>
      <c r="BF7" s="79"/>
      <c r="BG7" s="79">
        <v>3.5</v>
      </c>
      <c r="BH7" s="79"/>
      <c r="BI7" s="79">
        <v>9</v>
      </c>
      <c r="BJ7" s="79">
        <v>5</v>
      </c>
      <c r="BK7" s="79">
        <v>4</v>
      </c>
      <c r="BL7" s="15"/>
    </row>
    <row r="8" spans="1:64" ht="36" customHeight="1" x14ac:dyDescent="0.3">
      <c r="A8" s="15">
        <v>6</v>
      </c>
      <c r="B8" s="16" t="s">
        <v>718</v>
      </c>
      <c r="C8" s="16" t="s">
        <v>719</v>
      </c>
      <c r="D8" s="15">
        <v>2013</v>
      </c>
      <c r="E8" s="21" t="s">
        <v>276</v>
      </c>
      <c r="F8" s="15" t="s">
        <v>284</v>
      </c>
      <c r="G8" s="19" t="s">
        <v>225</v>
      </c>
      <c r="H8" s="48">
        <v>21085000000</v>
      </c>
      <c r="I8" s="53">
        <v>156</v>
      </c>
      <c r="J8" s="48">
        <v>1621923076.9230771</v>
      </c>
      <c r="K8" s="18" t="s">
        <v>243</v>
      </c>
      <c r="L8" s="15" t="s">
        <v>93</v>
      </c>
      <c r="M8" s="15" t="s">
        <v>94</v>
      </c>
      <c r="N8" s="15" t="s">
        <v>199</v>
      </c>
      <c r="O8" s="15" t="s">
        <v>42</v>
      </c>
      <c r="P8" s="15" t="s">
        <v>4</v>
      </c>
      <c r="Q8" s="70">
        <v>2784.63</v>
      </c>
      <c r="R8" s="70">
        <v>1480.729</v>
      </c>
      <c r="S8" s="81">
        <v>23624.684000000001</v>
      </c>
      <c r="T8" s="48">
        <v>5</v>
      </c>
      <c r="U8" s="53">
        <v>13</v>
      </c>
      <c r="V8" s="15" t="s">
        <v>16</v>
      </c>
      <c r="W8" s="18" t="s">
        <v>16</v>
      </c>
      <c r="X8" s="18" t="s">
        <v>9</v>
      </c>
      <c r="Y8" s="18" t="s">
        <v>62</v>
      </c>
      <c r="Z8" s="18"/>
      <c r="AA8" s="18"/>
      <c r="AB8" s="18" t="s">
        <v>45</v>
      </c>
      <c r="AC8" s="18"/>
      <c r="AD8" s="18" t="s">
        <v>280</v>
      </c>
      <c r="AE8" s="18" t="s">
        <v>481</v>
      </c>
      <c r="AF8" s="18"/>
      <c r="AG8" s="85"/>
      <c r="AH8" s="18" t="s">
        <v>264</v>
      </c>
      <c r="AI8" s="85"/>
      <c r="AJ8" s="85"/>
      <c r="AK8" s="85"/>
      <c r="AL8" s="91">
        <f t="shared" si="0"/>
        <v>44181</v>
      </c>
      <c r="AM8" s="91">
        <f>2796+36150</f>
        <v>38946</v>
      </c>
      <c r="AN8" s="92"/>
      <c r="AO8" s="91">
        <v>3304</v>
      </c>
      <c r="AP8" s="91">
        <v>1931</v>
      </c>
      <c r="AQ8" s="92"/>
      <c r="AR8" s="91">
        <f t="shared" si="1"/>
        <v>44181</v>
      </c>
      <c r="AS8" s="87">
        <f>3743+118+692</f>
        <v>4553</v>
      </c>
      <c r="AT8" s="85"/>
      <c r="AU8" s="85"/>
      <c r="AV8" s="85"/>
      <c r="AW8" s="85"/>
      <c r="AX8" s="85"/>
      <c r="AY8" s="92"/>
      <c r="AZ8" s="85"/>
      <c r="BA8" s="85"/>
      <c r="BB8" s="91">
        <v>13959</v>
      </c>
      <c r="BC8" s="92"/>
      <c r="BD8" s="101">
        <v>22</v>
      </c>
      <c r="BE8" s="102">
        <v>22</v>
      </c>
      <c r="BF8" s="79"/>
      <c r="BG8" s="79">
        <v>7</v>
      </c>
      <c r="BH8" s="79"/>
      <c r="BI8" s="79">
        <v>9</v>
      </c>
      <c r="BJ8" s="79">
        <v>8</v>
      </c>
      <c r="BK8" s="79">
        <v>8</v>
      </c>
      <c r="BL8" s="15"/>
    </row>
    <row r="9" spans="1:64" ht="36" customHeight="1" x14ac:dyDescent="0.3">
      <c r="A9" s="15">
        <v>7</v>
      </c>
      <c r="B9" s="16" t="s">
        <v>720</v>
      </c>
      <c r="C9" s="16" t="s">
        <v>721</v>
      </c>
      <c r="D9" s="15">
        <v>2013</v>
      </c>
      <c r="E9" s="21" t="s">
        <v>624</v>
      </c>
      <c r="F9" s="15" t="s">
        <v>283</v>
      </c>
      <c r="G9" s="19" t="s">
        <v>225</v>
      </c>
      <c r="H9" s="48">
        <v>16288000000</v>
      </c>
      <c r="I9" s="53">
        <v>57</v>
      </c>
      <c r="J9" s="48">
        <v>3429052631.5789475</v>
      </c>
      <c r="K9" s="18" t="s">
        <v>241</v>
      </c>
      <c r="L9" s="15" t="s">
        <v>95</v>
      </c>
      <c r="M9" s="15" t="s">
        <v>96</v>
      </c>
      <c r="N9" s="15" t="s">
        <v>90</v>
      </c>
      <c r="O9" s="15" t="s">
        <v>42</v>
      </c>
      <c r="P9" s="15" t="s">
        <v>7</v>
      </c>
      <c r="Q9" s="70">
        <v>31974</v>
      </c>
      <c r="R9" s="70">
        <v>11187.66</v>
      </c>
      <c r="S9" s="81">
        <v>14335.12</v>
      </c>
      <c r="T9" s="48">
        <v>0</v>
      </c>
      <c r="U9" s="53">
        <v>3</v>
      </c>
      <c r="V9" s="15"/>
      <c r="W9" s="18" t="s">
        <v>18</v>
      </c>
      <c r="X9" s="18" t="s">
        <v>9</v>
      </c>
      <c r="Y9" s="18" t="s">
        <v>61</v>
      </c>
      <c r="Z9" s="18"/>
      <c r="AA9" s="18"/>
      <c r="AB9" s="18" t="s">
        <v>1061</v>
      </c>
      <c r="AC9" s="18" t="s">
        <v>1062</v>
      </c>
      <c r="AD9" s="18" t="s">
        <v>1084</v>
      </c>
      <c r="AE9" s="18"/>
      <c r="AF9" s="18"/>
      <c r="AG9" s="85"/>
      <c r="AH9" s="18" t="s">
        <v>285</v>
      </c>
      <c r="AI9" s="85"/>
      <c r="AJ9" s="85"/>
      <c r="AK9" s="85"/>
      <c r="AL9" s="91">
        <f t="shared" si="0"/>
        <v>10268</v>
      </c>
      <c r="AM9" s="91">
        <v>10268</v>
      </c>
      <c r="AN9" s="92"/>
      <c r="AO9" s="92"/>
      <c r="AP9" s="92"/>
      <c r="AQ9" s="92"/>
      <c r="AR9" s="91">
        <f t="shared" si="1"/>
        <v>10268</v>
      </c>
      <c r="AS9" s="85"/>
      <c r="AT9" s="85"/>
      <c r="AU9" s="85"/>
      <c r="AV9" s="85"/>
      <c r="AW9" s="85"/>
      <c r="AX9" s="85"/>
      <c r="AY9" s="91">
        <v>721</v>
      </c>
      <c r="AZ9" s="85"/>
      <c r="BA9" s="85"/>
      <c r="BB9" s="91">
        <v>5256</v>
      </c>
      <c r="BC9" s="91">
        <f>1170+36</f>
        <v>1206</v>
      </c>
      <c r="BD9" s="101">
        <v>8</v>
      </c>
      <c r="BE9" s="102">
        <v>8</v>
      </c>
      <c r="BF9" s="79"/>
      <c r="BG9" s="79">
        <f>37/30</f>
        <v>1.2333333333333334</v>
      </c>
      <c r="BH9" s="79"/>
      <c r="BI9" s="79">
        <f>104/30</f>
        <v>3.4666666666666668</v>
      </c>
      <c r="BJ9" s="79">
        <f>115/30</f>
        <v>3.8333333333333335</v>
      </c>
      <c r="BK9" s="79">
        <f>47/30</f>
        <v>1.5666666666666667</v>
      </c>
      <c r="BL9" s="15"/>
    </row>
    <row r="10" spans="1:64" s="23" customFormat="1" ht="36" customHeight="1" x14ac:dyDescent="0.3">
      <c r="A10" s="15">
        <v>8</v>
      </c>
      <c r="B10" s="16" t="s">
        <v>722</v>
      </c>
      <c r="C10" s="16" t="s">
        <v>723</v>
      </c>
      <c r="D10" s="15">
        <v>2013</v>
      </c>
      <c r="E10" s="17" t="s">
        <v>281</v>
      </c>
      <c r="F10" s="15" t="s">
        <v>282</v>
      </c>
      <c r="G10" s="19" t="s">
        <v>225</v>
      </c>
      <c r="H10" s="48">
        <v>43271000000</v>
      </c>
      <c r="I10" s="53">
        <v>148</v>
      </c>
      <c r="J10" s="48">
        <v>3508459459.4594593</v>
      </c>
      <c r="K10" s="18" t="s">
        <v>243</v>
      </c>
      <c r="L10" s="15" t="s">
        <v>97</v>
      </c>
      <c r="M10" s="15" t="s">
        <v>98</v>
      </c>
      <c r="N10" s="15" t="s">
        <v>90</v>
      </c>
      <c r="O10" s="15" t="s">
        <v>42</v>
      </c>
      <c r="P10" s="15" t="s">
        <v>7</v>
      </c>
      <c r="Q10" s="70">
        <v>154354.79999999999</v>
      </c>
      <c r="R10" s="70">
        <v>60758.68</v>
      </c>
      <c r="S10" s="81">
        <v>64249.7</v>
      </c>
      <c r="T10" s="48">
        <v>1</v>
      </c>
      <c r="U10" s="53">
        <v>2</v>
      </c>
      <c r="V10" s="15" t="s">
        <v>18</v>
      </c>
      <c r="W10" s="18" t="s">
        <v>18</v>
      </c>
      <c r="X10" s="18" t="s">
        <v>9</v>
      </c>
      <c r="Y10" s="18" t="s">
        <v>61</v>
      </c>
      <c r="Z10" s="18"/>
      <c r="AA10" s="18"/>
      <c r="AB10" s="18" t="s">
        <v>1061</v>
      </c>
      <c r="AC10" s="18" t="s">
        <v>1062</v>
      </c>
      <c r="AD10" s="18" t="s">
        <v>1084</v>
      </c>
      <c r="AE10" s="18" t="s">
        <v>481</v>
      </c>
      <c r="AF10" s="18"/>
      <c r="AG10" s="85"/>
      <c r="AH10" s="18" t="s">
        <v>285</v>
      </c>
      <c r="AI10" s="85"/>
      <c r="AJ10" s="85"/>
      <c r="AK10" s="85"/>
      <c r="AL10" s="91">
        <f t="shared" si="0"/>
        <v>54203</v>
      </c>
      <c r="AM10" s="91">
        <f>28820+9194+16078</f>
        <v>54092</v>
      </c>
      <c r="AN10" s="92"/>
      <c r="AO10" s="91">
        <v>111</v>
      </c>
      <c r="AP10" s="92"/>
      <c r="AQ10" s="92"/>
      <c r="AR10" s="91">
        <f t="shared" si="1"/>
        <v>54203</v>
      </c>
      <c r="AS10" s="85"/>
      <c r="AT10" s="85"/>
      <c r="AU10" s="85"/>
      <c r="AV10" s="85"/>
      <c r="AW10" s="85"/>
      <c r="AX10" s="85"/>
      <c r="AY10" s="91">
        <v>1764</v>
      </c>
      <c r="AZ10" s="85"/>
      <c r="BA10" s="85"/>
      <c r="BB10" s="91">
        <f>5265+3035+221+91+69</f>
        <v>8681</v>
      </c>
      <c r="BC10" s="92"/>
      <c r="BD10" s="101">
        <v>10</v>
      </c>
      <c r="BE10" s="102">
        <v>10</v>
      </c>
      <c r="BF10" s="79"/>
      <c r="BG10" s="79">
        <f>284/30</f>
        <v>9.4666666666666668</v>
      </c>
      <c r="BH10" s="79"/>
      <c r="BI10" s="79">
        <v>4</v>
      </c>
      <c r="BJ10" s="79">
        <f>113/30</f>
        <v>3.7666666666666666</v>
      </c>
      <c r="BK10" s="79">
        <v>2.5</v>
      </c>
      <c r="BL10" s="15" t="s">
        <v>289</v>
      </c>
    </row>
    <row r="11" spans="1:64" ht="36" customHeight="1" x14ac:dyDescent="0.3">
      <c r="A11" s="15">
        <v>9</v>
      </c>
      <c r="B11" s="16" t="s">
        <v>724</v>
      </c>
      <c r="C11" s="16" t="s">
        <v>725</v>
      </c>
      <c r="D11" s="15">
        <v>2014</v>
      </c>
      <c r="E11" s="17" t="s">
        <v>50</v>
      </c>
      <c r="F11" s="15" t="s">
        <v>286</v>
      </c>
      <c r="G11" s="19" t="s">
        <v>225</v>
      </c>
      <c r="H11" s="48">
        <v>42147000000</v>
      </c>
      <c r="I11" s="53">
        <v>187</v>
      </c>
      <c r="J11" s="48">
        <v>2704620320.8556147</v>
      </c>
      <c r="K11" s="18" t="s">
        <v>243</v>
      </c>
      <c r="L11" s="15" t="s">
        <v>93</v>
      </c>
      <c r="M11" s="15" t="s">
        <v>99</v>
      </c>
      <c r="N11" s="15" t="s">
        <v>199</v>
      </c>
      <c r="O11" s="15" t="s">
        <v>42</v>
      </c>
      <c r="P11" s="15" t="s">
        <v>4</v>
      </c>
      <c r="Q11" s="70">
        <v>3198.1</v>
      </c>
      <c r="R11" s="70">
        <v>1916.97</v>
      </c>
      <c r="S11" s="81">
        <v>38075.800000000003</v>
      </c>
      <c r="T11" s="48">
        <v>5</v>
      </c>
      <c r="U11" s="53">
        <v>15</v>
      </c>
      <c r="V11" s="15" t="s">
        <v>18</v>
      </c>
      <c r="W11" s="18" t="s">
        <v>16</v>
      </c>
      <c r="X11" s="18" t="s">
        <v>64</v>
      </c>
      <c r="Y11" s="18" t="s">
        <v>62</v>
      </c>
      <c r="Z11" s="18" t="s">
        <v>1074</v>
      </c>
      <c r="AA11" s="18"/>
      <c r="AB11" s="18" t="s">
        <v>45</v>
      </c>
      <c r="AC11" s="18"/>
      <c r="AD11" s="18" t="s">
        <v>267</v>
      </c>
      <c r="AE11" s="18" t="s">
        <v>265</v>
      </c>
      <c r="AF11" s="18"/>
      <c r="AG11" s="85"/>
      <c r="AH11" s="18" t="s">
        <v>264</v>
      </c>
      <c r="AI11" s="85"/>
      <c r="AJ11" s="85"/>
      <c r="AK11" s="85"/>
      <c r="AL11" s="91">
        <f t="shared" si="0"/>
        <v>61088</v>
      </c>
      <c r="AM11" s="91">
        <v>51844</v>
      </c>
      <c r="AN11" s="92"/>
      <c r="AO11" s="91">
        <v>4216</v>
      </c>
      <c r="AP11" s="91">
        <f>3368+1660</f>
        <v>5028</v>
      </c>
      <c r="AQ11" s="92"/>
      <c r="AR11" s="91">
        <f t="shared" si="1"/>
        <v>61088</v>
      </c>
      <c r="AS11" s="87">
        <f>4336+375+390+178</f>
        <v>5279</v>
      </c>
      <c r="AT11" s="85"/>
      <c r="AU11" s="85"/>
      <c r="AV11" s="85"/>
      <c r="AW11" s="87">
        <v>24</v>
      </c>
      <c r="AX11" s="85"/>
      <c r="AY11" s="92"/>
      <c r="AZ11" s="85"/>
      <c r="BA11" s="85"/>
      <c r="BB11" s="91">
        <f>9461+83+36+10652+44</f>
        <v>20276</v>
      </c>
      <c r="BC11" s="91">
        <f>301+162+644+4</f>
        <v>1111</v>
      </c>
      <c r="BD11" s="101">
        <v>22</v>
      </c>
      <c r="BE11" s="102">
        <f>627/30</f>
        <v>20.9</v>
      </c>
      <c r="BF11" s="79"/>
      <c r="BG11" s="79">
        <f>289/30</f>
        <v>9.6333333333333329</v>
      </c>
      <c r="BH11" s="79"/>
      <c r="BI11" s="79">
        <f>332/30</f>
        <v>11.066666666666666</v>
      </c>
      <c r="BJ11" s="79">
        <f>187/30</f>
        <v>6.2333333333333334</v>
      </c>
      <c r="BK11" s="79">
        <f>181/30</f>
        <v>6.0333333333333332</v>
      </c>
      <c r="BL11" s="15"/>
    </row>
    <row r="12" spans="1:64" ht="36" customHeight="1" x14ac:dyDescent="0.3">
      <c r="A12" s="15">
        <v>10</v>
      </c>
      <c r="B12" s="16" t="s">
        <v>726</v>
      </c>
      <c r="C12" s="16" t="s">
        <v>727</v>
      </c>
      <c r="D12" s="15">
        <v>2014</v>
      </c>
      <c r="E12" s="21" t="s">
        <v>287</v>
      </c>
      <c r="F12" s="15" t="s">
        <v>288</v>
      </c>
      <c r="G12" s="19" t="s">
        <v>225</v>
      </c>
      <c r="H12" s="48">
        <v>36150000000</v>
      </c>
      <c r="I12" s="53">
        <v>136</v>
      </c>
      <c r="J12" s="48">
        <v>3189705882.352941</v>
      </c>
      <c r="K12" s="18" t="s">
        <v>243</v>
      </c>
      <c r="L12" s="15" t="s">
        <v>93</v>
      </c>
      <c r="M12" s="15" t="s">
        <v>100</v>
      </c>
      <c r="N12" s="15" t="s">
        <v>199</v>
      </c>
      <c r="O12" s="15" t="s">
        <v>42</v>
      </c>
      <c r="P12" s="18" t="s">
        <v>693</v>
      </c>
      <c r="Q12" s="70">
        <v>2294.5</v>
      </c>
      <c r="R12" s="70">
        <v>1313.03</v>
      </c>
      <c r="S12" s="81">
        <v>26394.82</v>
      </c>
      <c r="T12" s="48">
        <v>8</v>
      </c>
      <c r="U12" s="53">
        <v>11</v>
      </c>
      <c r="V12" s="15" t="s">
        <v>18</v>
      </c>
      <c r="W12" s="18" t="s">
        <v>1050</v>
      </c>
      <c r="X12" s="18" t="s">
        <v>64</v>
      </c>
      <c r="Y12" s="18" t="s">
        <v>62</v>
      </c>
      <c r="Z12" s="18" t="s">
        <v>1075</v>
      </c>
      <c r="AA12" s="18"/>
      <c r="AB12" s="18" t="s">
        <v>45</v>
      </c>
      <c r="AC12" s="18"/>
      <c r="AD12" s="18" t="s">
        <v>296</v>
      </c>
      <c r="AE12" s="18"/>
      <c r="AF12" s="18"/>
      <c r="AG12" s="85"/>
      <c r="AH12" s="18" t="s">
        <v>264</v>
      </c>
      <c r="AI12" s="85"/>
      <c r="AJ12" s="85"/>
      <c r="AK12" s="85"/>
      <c r="AL12" s="91">
        <f t="shared" si="0"/>
        <v>107520</v>
      </c>
      <c r="AM12" s="91">
        <f>52200+51100</f>
        <v>103300</v>
      </c>
      <c r="AN12" s="92"/>
      <c r="AO12" s="92"/>
      <c r="AP12" s="91">
        <v>4220</v>
      </c>
      <c r="AQ12" s="92"/>
      <c r="AR12" s="91">
        <f t="shared" si="1"/>
        <v>107520</v>
      </c>
      <c r="AS12" s="87">
        <f>4757+274</f>
        <v>5031</v>
      </c>
      <c r="AT12" s="85"/>
      <c r="AU12" s="85"/>
      <c r="AV12" s="85"/>
      <c r="AW12" s="87">
        <v>29</v>
      </c>
      <c r="AX12" s="85"/>
      <c r="AY12" s="92"/>
      <c r="AZ12" s="85"/>
      <c r="BA12" s="85"/>
      <c r="BB12" s="91">
        <f>3271+11401</f>
        <v>14672</v>
      </c>
      <c r="BC12" s="91">
        <f>1804+212+60+12</f>
        <v>2088</v>
      </c>
      <c r="BD12" s="101">
        <v>19</v>
      </c>
      <c r="BE12" s="102">
        <v>19</v>
      </c>
      <c r="BF12" s="79"/>
      <c r="BG12" s="79">
        <f>479/30</f>
        <v>15.966666666666667</v>
      </c>
      <c r="BH12" s="79"/>
      <c r="BI12" s="79">
        <f>338/30</f>
        <v>11.266666666666667</v>
      </c>
      <c r="BJ12" s="79">
        <f>213/30</f>
        <v>7.1</v>
      </c>
      <c r="BK12" s="79">
        <f>335/30</f>
        <v>11.166666666666666</v>
      </c>
      <c r="BL12" s="15" t="s">
        <v>51</v>
      </c>
    </row>
    <row r="13" spans="1:64" ht="36" customHeight="1" x14ac:dyDescent="0.3">
      <c r="A13" s="15">
        <v>11</v>
      </c>
      <c r="B13" s="16" t="s">
        <v>728</v>
      </c>
      <c r="C13" s="16" t="s">
        <v>729</v>
      </c>
      <c r="D13" s="15">
        <v>2014</v>
      </c>
      <c r="E13" s="17" t="s">
        <v>290</v>
      </c>
      <c r="F13" s="15" t="s">
        <v>291</v>
      </c>
      <c r="G13" s="19" t="s">
        <v>225</v>
      </c>
      <c r="H13" s="48">
        <v>21429342727</v>
      </c>
      <c r="I13" s="53">
        <v>133</v>
      </c>
      <c r="J13" s="48">
        <v>1933474531.7593985</v>
      </c>
      <c r="K13" s="18" t="s">
        <v>241</v>
      </c>
      <c r="L13" s="15" t="s">
        <v>93</v>
      </c>
      <c r="M13" s="15" t="s">
        <v>101</v>
      </c>
      <c r="N13" s="15" t="s">
        <v>199</v>
      </c>
      <c r="O13" s="15" t="s">
        <v>42</v>
      </c>
      <c r="P13" s="15" t="s">
        <v>4</v>
      </c>
      <c r="Q13" s="70">
        <v>2606</v>
      </c>
      <c r="R13" s="70">
        <v>1085.7</v>
      </c>
      <c r="S13" s="81">
        <v>11495.26</v>
      </c>
      <c r="T13" s="48">
        <v>3</v>
      </c>
      <c r="U13" s="53">
        <v>7</v>
      </c>
      <c r="V13" s="15" t="s">
        <v>18</v>
      </c>
      <c r="W13" s="18" t="s">
        <v>18</v>
      </c>
      <c r="X13" s="18" t="s">
        <v>64</v>
      </c>
      <c r="Y13" s="18" t="s">
        <v>62</v>
      </c>
      <c r="Z13" s="18" t="s">
        <v>1074</v>
      </c>
      <c r="AA13" s="18"/>
      <c r="AB13" s="18" t="s">
        <v>20</v>
      </c>
      <c r="AC13" s="18"/>
      <c r="AD13" s="18" t="s">
        <v>353</v>
      </c>
      <c r="AE13" s="18" t="s">
        <v>265</v>
      </c>
      <c r="AF13" s="18"/>
      <c r="AG13" s="85"/>
      <c r="AH13" s="18" t="s">
        <v>264</v>
      </c>
      <c r="AI13" s="85"/>
      <c r="AJ13" s="85"/>
      <c r="AK13" s="85"/>
      <c r="AL13" s="91">
        <f t="shared" si="0"/>
        <v>28556</v>
      </c>
      <c r="AM13" s="91">
        <v>26901</v>
      </c>
      <c r="AN13" s="92"/>
      <c r="AO13" s="91">
        <v>1655</v>
      </c>
      <c r="AP13" s="92"/>
      <c r="AQ13" s="92"/>
      <c r="AR13" s="91">
        <f t="shared" si="1"/>
        <v>28556</v>
      </c>
      <c r="AS13" s="85"/>
      <c r="AT13" s="85"/>
      <c r="AU13" s="85"/>
      <c r="AV13" s="85"/>
      <c r="AW13" s="87">
        <v>19</v>
      </c>
      <c r="AX13" s="85"/>
      <c r="AY13" s="92"/>
      <c r="AZ13" s="85"/>
      <c r="BA13" s="85"/>
      <c r="BB13" s="91">
        <f>6830+1895</f>
        <v>8725</v>
      </c>
      <c r="BC13" s="91">
        <f>104+167+351+400+24</f>
        <v>1046</v>
      </c>
      <c r="BD13" s="101">
        <v>17</v>
      </c>
      <c r="BE13" s="102">
        <v>17</v>
      </c>
      <c r="BF13" s="79">
        <v>2.5</v>
      </c>
      <c r="BG13" s="79">
        <v>5.5</v>
      </c>
      <c r="BH13" s="79"/>
      <c r="BI13" s="79">
        <v>6.1</v>
      </c>
      <c r="BJ13" s="79">
        <v>4.0999999999999996</v>
      </c>
      <c r="BK13" s="79">
        <v>5.0999999999999996</v>
      </c>
      <c r="BL13" s="15" t="s">
        <v>44</v>
      </c>
    </row>
    <row r="14" spans="1:64" s="28" customFormat="1" ht="36" customHeight="1" x14ac:dyDescent="0.3">
      <c r="A14" s="15">
        <v>12</v>
      </c>
      <c r="B14" s="16" t="s">
        <v>730</v>
      </c>
      <c r="C14" s="16" t="s">
        <v>731</v>
      </c>
      <c r="D14" s="15">
        <v>2014</v>
      </c>
      <c r="E14" s="21" t="s">
        <v>292</v>
      </c>
      <c r="F14" s="15" t="s">
        <v>293</v>
      </c>
      <c r="G14" s="19" t="s">
        <v>225</v>
      </c>
      <c r="H14" s="48">
        <v>33036000000</v>
      </c>
      <c r="I14" s="53">
        <v>219</v>
      </c>
      <c r="J14" s="48">
        <v>1810191780.821918</v>
      </c>
      <c r="K14" s="18" t="s">
        <v>243</v>
      </c>
      <c r="L14" s="15" t="s">
        <v>93</v>
      </c>
      <c r="M14" s="15" t="s">
        <v>87</v>
      </c>
      <c r="N14" s="15" t="s">
        <v>199</v>
      </c>
      <c r="O14" s="15" t="s">
        <v>42</v>
      </c>
      <c r="P14" s="15" t="s">
        <v>31</v>
      </c>
      <c r="Q14" s="70">
        <v>1147.3</v>
      </c>
      <c r="R14" s="70">
        <v>687.02</v>
      </c>
      <c r="S14" s="81">
        <v>17684.38</v>
      </c>
      <c r="T14" s="48">
        <v>4</v>
      </c>
      <c r="U14" s="53">
        <v>25</v>
      </c>
      <c r="V14" s="15" t="s">
        <v>18</v>
      </c>
      <c r="W14" s="18" t="s">
        <v>16</v>
      </c>
      <c r="X14" s="18" t="s">
        <v>64</v>
      </c>
      <c r="Y14" s="18" t="s">
        <v>62</v>
      </c>
      <c r="Z14" s="18" t="s">
        <v>1074</v>
      </c>
      <c r="AA14" s="18"/>
      <c r="AB14" s="18" t="s">
        <v>20</v>
      </c>
      <c r="AC14" s="18"/>
      <c r="AD14" s="18" t="s">
        <v>267</v>
      </c>
      <c r="AE14" s="18" t="s">
        <v>353</v>
      </c>
      <c r="AF14" s="18"/>
      <c r="AG14" s="85"/>
      <c r="AH14" s="18" t="s">
        <v>264</v>
      </c>
      <c r="AI14" s="85"/>
      <c r="AJ14" s="85"/>
      <c r="AK14" s="85"/>
      <c r="AL14" s="91">
        <f t="shared" si="0"/>
        <v>50648</v>
      </c>
      <c r="AM14" s="91">
        <v>30064</v>
      </c>
      <c r="AN14" s="92"/>
      <c r="AO14" s="91">
        <v>20584</v>
      </c>
      <c r="AP14" s="92"/>
      <c r="AQ14" s="92"/>
      <c r="AR14" s="91">
        <f t="shared" si="1"/>
        <v>50648</v>
      </c>
      <c r="AS14" s="85"/>
      <c r="AT14" s="93">
        <v>418</v>
      </c>
      <c r="AU14" s="85"/>
      <c r="AV14" s="85"/>
      <c r="AW14" s="87">
        <v>17</v>
      </c>
      <c r="AX14" s="85"/>
      <c r="AY14" s="92"/>
      <c r="AZ14" s="85"/>
      <c r="BA14" s="85"/>
      <c r="BB14" s="91">
        <f>4978+8801+4276</f>
        <v>18055</v>
      </c>
      <c r="BC14" s="91">
        <f>6+19+1+70+170</f>
        <v>266</v>
      </c>
      <c r="BD14" s="101">
        <v>25</v>
      </c>
      <c r="BE14" s="102">
        <v>25</v>
      </c>
      <c r="BF14" s="79">
        <v>2</v>
      </c>
      <c r="BG14" s="79">
        <v>8</v>
      </c>
      <c r="BH14" s="79"/>
      <c r="BI14" s="79">
        <v>16</v>
      </c>
      <c r="BJ14" s="79">
        <v>6.5</v>
      </c>
      <c r="BK14" s="79">
        <v>6.5</v>
      </c>
      <c r="BL14" s="15" t="s">
        <v>44</v>
      </c>
    </row>
    <row r="15" spans="1:64" ht="36" customHeight="1" x14ac:dyDescent="0.3">
      <c r="A15" s="24">
        <v>13</v>
      </c>
      <c r="B15" s="25" t="s">
        <v>732</v>
      </c>
      <c r="C15" s="25" t="s">
        <v>733</v>
      </c>
      <c r="D15" s="24">
        <v>2014</v>
      </c>
      <c r="E15" s="29" t="s">
        <v>294</v>
      </c>
      <c r="F15" s="24" t="s">
        <v>295</v>
      </c>
      <c r="G15" s="26" t="s">
        <v>225</v>
      </c>
      <c r="H15" s="49">
        <v>18682000000</v>
      </c>
      <c r="I15" s="55">
        <v>84</v>
      </c>
      <c r="J15" s="49">
        <v>2668857142.8571429</v>
      </c>
      <c r="K15" s="27" t="s">
        <v>241</v>
      </c>
      <c r="L15" s="24" t="s">
        <v>93</v>
      </c>
      <c r="M15" s="24" t="s">
        <v>102</v>
      </c>
      <c r="N15" s="24" t="s">
        <v>199</v>
      </c>
      <c r="O15" s="24" t="s">
        <v>5</v>
      </c>
      <c r="P15" s="24" t="s">
        <v>4</v>
      </c>
      <c r="Q15" s="71">
        <v>4106.1000000000004</v>
      </c>
      <c r="R15" s="71">
        <v>2640.04</v>
      </c>
      <c r="S15" s="71">
        <v>39907.89</v>
      </c>
      <c r="T15" s="49">
        <v>2</v>
      </c>
      <c r="U15" s="55">
        <v>19</v>
      </c>
      <c r="V15" s="24"/>
      <c r="W15" s="27"/>
      <c r="X15" s="27"/>
      <c r="Y15" s="27"/>
      <c r="Z15" s="27"/>
      <c r="AA15" s="27"/>
      <c r="AB15" s="27"/>
      <c r="AC15" s="27"/>
      <c r="AD15" s="27" t="s">
        <v>1211</v>
      </c>
      <c r="AE15" s="27" t="s">
        <v>297</v>
      </c>
      <c r="AF15" s="27"/>
      <c r="AG15" s="86"/>
      <c r="AH15" s="27"/>
      <c r="AI15" s="86"/>
      <c r="AJ15" s="86"/>
      <c r="AK15" s="86"/>
      <c r="AL15" s="94"/>
      <c r="AM15" s="94"/>
      <c r="AN15" s="94"/>
      <c r="AO15" s="94"/>
      <c r="AP15" s="94"/>
      <c r="AQ15" s="94"/>
      <c r="AR15" s="94"/>
      <c r="AS15" s="86"/>
      <c r="AT15" s="86"/>
      <c r="AU15" s="86"/>
      <c r="AV15" s="85"/>
      <c r="AW15" s="86"/>
      <c r="AX15" s="86"/>
      <c r="AY15" s="94"/>
      <c r="AZ15" s="86"/>
      <c r="BA15" s="86"/>
      <c r="BB15" s="94"/>
      <c r="BC15" s="94"/>
      <c r="BD15" s="103">
        <v>7</v>
      </c>
      <c r="BE15" s="104">
        <v>9</v>
      </c>
      <c r="BF15" s="67">
        <v>3.5</v>
      </c>
      <c r="BG15" s="67"/>
      <c r="BH15" s="67"/>
      <c r="BI15" s="67">
        <v>2.5</v>
      </c>
      <c r="BJ15" s="67">
        <v>3</v>
      </c>
      <c r="BK15" s="67">
        <v>2.5</v>
      </c>
      <c r="BL15" s="24" t="s">
        <v>60</v>
      </c>
    </row>
    <row r="16" spans="1:64" ht="36" customHeight="1" x14ac:dyDescent="0.3">
      <c r="A16" s="24">
        <v>14</v>
      </c>
      <c r="B16" s="25" t="s">
        <v>734</v>
      </c>
      <c r="C16" s="25" t="s">
        <v>735</v>
      </c>
      <c r="D16" s="24">
        <v>2014</v>
      </c>
      <c r="E16" s="26" t="s">
        <v>670</v>
      </c>
      <c r="F16" s="24" t="s">
        <v>298</v>
      </c>
      <c r="G16" s="26" t="s">
        <v>225</v>
      </c>
      <c r="H16" s="49">
        <v>27804949000</v>
      </c>
      <c r="I16" s="55">
        <v>138</v>
      </c>
      <c r="J16" s="49">
        <v>2417821652.173913</v>
      </c>
      <c r="K16" s="27" t="s">
        <v>241</v>
      </c>
      <c r="L16" s="24" t="s">
        <v>93</v>
      </c>
      <c r="M16" s="24" t="s">
        <v>102</v>
      </c>
      <c r="N16" s="24" t="s">
        <v>199</v>
      </c>
      <c r="O16" s="24" t="s">
        <v>5</v>
      </c>
      <c r="P16" s="24" t="s">
        <v>31</v>
      </c>
      <c r="Q16" s="71">
        <v>3014.8</v>
      </c>
      <c r="R16" s="71">
        <v>2392.6799999999998</v>
      </c>
      <c r="S16" s="71">
        <v>27010.67</v>
      </c>
      <c r="T16" s="49">
        <v>2</v>
      </c>
      <c r="U16" s="55">
        <v>22</v>
      </c>
      <c r="V16" s="24" t="s">
        <v>18</v>
      </c>
      <c r="W16" s="27" t="s">
        <v>18</v>
      </c>
      <c r="X16" s="27"/>
      <c r="Y16" s="27"/>
      <c r="Z16" s="27"/>
      <c r="AA16" s="27"/>
      <c r="AB16" s="27"/>
      <c r="AC16" s="27"/>
      <c r="AD16" s="27"/>
      <c r="AE16" s="27"/>
      <c r="AF16" s="27"/>
      <c r="AG16" s="86"/>
      <c r="AH16" s="27" t="s">
        <v>299</v>
      </c>
      <c r="AI16" s="86"/>
      <c r="AJ16" s="86"/>
      <c r="AK16" s="86"/>
      <c r="AL16" s="94"/>
      <c r="AM16" s="94"/>
      <c r="AN16" s="94"/>
      <c r="AO16" s="94"/>
      <c r="AP16" s="94"/>
      <c r="AQ16" s="94"/>
      <c r="AR16" s="94"/>
      <c r="AS16" s="86"/>
      <c r="AT16" s="86"/>
      <c r="AU16" s="86"/>
      <c r="AV16" s="85"/>
      <c r="AW16" s="86"/>
      <c r="AX16" s="86"/>
      <c r="AY16" s="94"/>
      <c r="AZ16" s="86"/>
      <c r="BA16" s="86"/>
      <c r="BB16" s="94"/>
      <c r="BC16" s="94"/>
      <c r="BD16" s="103">
        <v>14</v>
      </c>
      <c r="BE16" s="104">
        <v>14</v>
      </c>
      <c r="BF16" s="67">
        <v>2.1</v>
      </c>
      <c r="BG16" s="67"/>
      <c r="BH16" s="67"/>
      <c r="BI16" s="67">
        <v>2.2000000000000002</v>
      </c>
      <c r="BJ16" s="67">
        <v>3</v>
      </c>
      <c r="BK16" s="67">
        <v>5</v>
      </c>
      <c r="BL16" s="24" t="s">
        <v>44</v>
      </c>
    </row>
    <row r="17" spans="1:64" s="28" customFormat="1" ht="36" customHeight="1" x14ac:dyDescent="0.3">
      <c r="A17" s="15">
        <v>15</v>
      </c>
      <c r="B17" s="16" t="s">
        <v>736</v>
      </c>
      <c r="C17" s="16" t="s">
        <v>737</v>
      </c>
      <c r="D17" s="15">
        <v>2014</v>
      </c>
      <c r="E17" s="17" t="s">
        <v>301</v>
      </c>
      <c r="F17" s="15" t="s">
        <v>300</v>
      </c>
      <c r="G17" s="19" t="s">
        <v>225</v>
      </c>
      <c r="H17" s="48">
        <v>5291000000</v>
      </c>
      <c r="I17" s="53"/>
      <c r="J17" s="53"/>
      <c r="K17" s="18" t="s">
        <v>241</v>
      </c>
      <c r="L17" s="15" t="s">
        <v>1049</v>
      </c>
      <c r="M17" s="15" t="s">
        <v>103</v>
      </c>
      <c r="N17" s="15" t="s">
        <v>90</v>
      </c>
      <c r="O17" s="15" t="s">
        <v>42</v>
      </c>
      <c r="P17" s="15" t="s">
        <v>695</v>
      </c>
      <c r="Q17" s="70">
        <v>5510</v>
      </c>
      <c r="R17" s="70">
        <v>1066.5899999999999</v>
      </c>
      <c r="S17" s="81">
        <v>3199.77</v>
      </c>
      <c r="T17" s="48">
        <v>0</v>
      </c>
      <c r="U17" s="53">
        <v>3</v>
      </c>
      <c r="V17" s="15"/>
      <c r="W17" s="18" t="s">
        <v>1050</v>
      </c>
      <c r="X17" s="18" t="s">
        <v>9</v>
      </c>
      <c r="Y17" s="18" t="s">
        <v>62</v>
      </c>
      <c r="Z17" s="18"/>
      <c r="AA17" s="18"/>
      <c r="AB17" s="18" t="s">
        <v>20</v>
      </c>
      <c r="AC17" s="18"/>
      <c r="AD17" s="18" t="s">
        <v>1082</v>
      </c>
      <c r="AE17" s="18" t="s">
        <v>265</v>
      </c>
      <c r="AF17" s="18"/>
      <c r="AG17" s="85"/>
      <c r="AH17" s="18" t="s">
        <v>285</v>
      </c>
      <c r="AI17" s="85"/>
      <c r="AJ17" s="85"/>
      <c r="AK17" s="85"/>
      <c r="AL17" s="91">
        <f>SUM(AM17:AQ17)</f>
        <v>8235</v>
      </c>
      <c r="AM17" s="91">
        <f>1000+3019+2410+1806</f>
        <v>8235</v>
      </c>
      <c r="AN17" s="92"/>
      <c r="AO17" s="92"/>
      <c r="AP17" s="92"/>
      <c r="AQ17" s="92"/>
      <c r="AR17" s="91">
        <f>AL17</f>
        <v>8235</v>
      </c>
      <c r="AS17" s="85"/>
      <c r="AT17" s="85"/>
      <c r="AU17" s="85"/>
      <c r="AV17" s="85"/>
      <c r="AW17" s="85"/>
      <c r="AX17" s="85"/>
      <c r="AY17" s="91">
        <v>85</v>
      </c>
      <c r="AZ17" s="85"/>
      <c r="BA17" s="85"/>
      <c r="BB17" s="91">
        <f>1055+252</f>
        <v>1307</v>
      </c>
      <c r="BC17" s="91">
        <f>427+42+43+23+1</f>
        <v>536</v>
      </c>
      <c r="BD17" s="101">
        <v>6</v>
      </c>
      <c r="BE17" s="102">
        <v>6</v>
      </c>
      <c r="BF17" s="79"/>
      <c r="BG17" s="79">
        <v>3</v>
      </c>
      <c r="BH17" s="79"/>
      <c r="BI17" s="79">
        <v>2.5</v>
      </c>
      <c r="BJ17" s="79">
        <v>1.5</v>
      </c>
      <c r="BK17" s="79">
        <v>1.5</v>
      </c>
      <c r="BL17" s="15"/>
    </row>
    <row r="18" spans="1:64" ht="36" customHeight="1" x14ac:dyDescent="0.3">
      <c r="A18" s="15">
        <v>16</v>
      </c>
      <c r="B18" s="16" t="s">
        <v>738</v>
      </c>
      <c r="C18" s="16" t="s">
        <v>739</v>
      </c>
      <c r="D18" s="15">
        <v>2015</v>
      </c>
      <c r="E18" s="17" t="s">
        <v>52</v>
      </c>
      <c r="F18" s="15" t="s">
        <v>302</v>
      </c>
      <c r="G18" s="19" t="s">
        <v>225</v>
      </c>
      <c r="H18" s="48">
        <v>59350000000</v>
      </c>
      <c r="I18" s="53">
        <v>157.5</v>
      </c>
      <c r="J18" s="48">
        <v>4521904761.9047623</v>
      </c>
      <c r="K18" s="18" t="s">
        <v>241</v>
      </c>
      <c r="L18" s="15" t="s">
        <v>93</v>
      </c>
      <c r="M18" s="15" t="s">
        <v>102</v>
      </c>
      <c r="N18" s="15" t="s">
        <v>199</v>
      </c>
      <c r="O18" s="15" t="s">
        <v>5</v>
      </c>
      <c r="P18" s="15" t="s">
        <v>693</v>
      </c>
      <c r="Q18" s="70">
        <v>11410.24</v>
      </c>
      <c r="R18" s="70">
        <v>3758.81</v>
      </c>
      <c r="S18" s="81">
        <v>122917.19</v>
      </c>
      <c r="T18" s="48">
        <v>6</v>
      </c>
      <c r="U18" s="53">
        <v>23</v>
      </c>
      <c r="V18" s="15" t="s">
        <v>18</v>
      </c>
      <c r="W18" s="18" t="s">
        <v>18</v>
      </c>
      <c r="X18" s="18"/>
      <c r="Y18" s="18"/>
      <c r="Z18" s="18"/>
      <c r="AA18" s="18"/>
      <c r="AB18" s="18"/>
      <c r="AC18" s="18"/>
      <c r="AD18" s="18"/>
      <c r="AE18" s="18"/>
      <c r="AF18" s="18"/>
      <c r="AG18" s="85"/>
      <c r="AH18" s="18"/>
      <c r="AI18" s="85"/>
      <c r="AJ18" s="85"/>
      <c r="AK18" s="85"/>
      <c r="AL18" s="92"/>
      <c r="AM18" s="92"/>
      <c r="AN18" s="92"/>
      <c r="AO18" s="92"/>
      <c r="AP18" s="92"/>
      <c r="AQ18" s="92"/>
      <c r="AR18" s="92"/>
      <c r="AS18" s="85"/>
      <c r="AT18" s="85"/>
      <c r="AU18" s="85"/>
      <c r="AV18" s="85"/>
      <c r="AW18" s="85"/>
      <c r="AX18" s="85"/>
      <c r="AY18" s="92"/>
      <c r="AZ18" s="85"/>
      <c r="BA18" s="85"/>
      <c r="BB18" s="91">
        <f>514+535+6+25+21</f>
        <v>1101</v>
      </c>
      <c r="BC18" s="92"/>
      <c r="BD18" s="101">
        <v>11.5</v>
      </c>
      <c r="BE18" s="102">
        <v>11.5</v>
      </c>
      <c r="BF18" s="79">
        <f>173/30</f>
        <v>5.7666666666666666</v>
      </c>
      <c r="BG18" s="79"/>
      <c r="BH18" s="79"/>
      <c r="BI18" s="79">
        <f>179/30</f>
        <v>5.9666666666666668</v>
      </c>
      <c r="BJ18" s="79"/>
      <c r="BK18" s="79">
        <f>284/30</f>
        <v>9.4666666666666668</v>
      </c>
      <c r="BL18" s="18" t="s">
        <v>303</v>
      </c>
    </row>
    <row r="19" spans="1:64" ht="36" customHeight="1" x14ac:dyDescent="0.3">
      <c r="A19" s="15">
        <v>17</v>
      </c>
      <c r="B19" s="16" t="s">
        <v>740</v>
      </c>
      <c r="C19" s="16" t="s">
        <v>741</v>
      </c>
      <c r="D19" s="15">
        <v>2015</v>
      </c>
      <c r="E19" s="21" t="s">
        <v>304</v>
      </c>
      <c r="F19" s="15" t="s">
        <v>305</v>
      </c>
      <c r="G19" s="19" t="s">
        <v>225</v>
      </c>
      <c r="H19" s="48">
        <v>11645000000</v>
      </c>
      <c r="I19" s="53">
        <v>79</v>
      </c>
      <c r="J19" s="48">
        <v>1768860759.4936709</v>
      </c>
      <c r="K19" s="18" t="s">
        <v>243</v>
      </c>
      <c r="L19" s="15" t="s">
        <v>93</v>
      </c>
      <c r="M19" s="15" t="s">
        <v>87</v>
      </c>
      <c r="N19" s="15" t="s">
        <v>199</v>
      </c>
      <c r="O19" s="15" t="s">
        <v>42</v>
      </c>
      <c r="P19" s="15" t="s">
        <v>4</v>
      </c>
      <c r="Q19" s="70">
        <v>858.4</v>
      </c>
      <c r="R19" s="70">
        <v>485.66</v>
      </c>
      <c r="S19" s="81">
        <v>9657.41</v>
      </c>
      <c r="T19" s="48">
        <v>5</v>
      </c>
      <c r="U19" s="53">
        <v>14</v>
      </c>
      <c r="V19" s="15" t="s">
        <v>18</v>
      </c>
      <c r="W19" s="18" t="s">
        <v>18</v>
      </c>
      <c r="X19" s="18" t="s">
        <v>64</v>
      </c>
      <c r="Y19" s="18" t="s">
        <v>62</v>
      </c>
      <c r="Z19" s="18" t="s">
        <v>1076</v>
      </c>
      <c r="AA19" s="18"/>
      <c r="AB19" s="18" t="s">
        <v>20</v>
      </c>
      <c r="AC19" s="18"/>
      <c r="AD19" s="18" t="s">
        <v>306</v>
      </c>
      <c r="AE19" s="18" t="s">
        <v>265</v>
      </c>
      <c r="AF19" s="18"/>
      <c r="AG19" s="85"/>
      <c r="AH19" s="18" t="s">
        <v>264</v>
      </c>
      <c r="AI19" s="85"/>
      <c r="AJ19" s="85"/>
      <c r="AK19" s="85"/>
      <c r="AL19" s="91">
        <f t="shared" ref="AL19:AL28" si="2">SUM(AM19:AQ19)</f>
        <v>6473</v>
      </c>
      <c r="AM19" s="92"/>
      <c r="AN19" s="92"/>
      <c r="AO19" s="91">
        <v>120</v>
      </c>
      <c r="AP19" s="91">
        <f>3043+3310</f>
        <v>6353</v>
      </c>
      <c r="AQ19" s="92"/>
      <c r="AR19" s="91">
        <f t="shared" ref="AR19:AR28" si="3">AL19</f>
        <v>6473</v>
      </c>
      <c r="AS19" s="85"/>
      <c r="AT19" s="87">
        <v>209</v>
      </c>
      <c r="AU19" s="87">
        <v>74</v>
      </c>
      <c r="AV19" s="85"/>
      <c r="AW19" s="85"/>
      <c r="AX19" s="85"/>
      <c r="AY19" s="92"/>
      <c r="AZ19" s="85"/>
      <c r="BA19" s="85"/>
      <c r="BB19" s="91">
        <v>5337</v>
      </c>
      <c r="BC19" s="91">
        <f>472+4</f>
        <v>476</v>
      </c>
      <c r="BD19" s="101">
        <v>20</v>
      </c>
      <c r="BE19" s="102">
        <v>20</v>
      </c>
      <c r="BF19" s="79"/>
      <c r="BG19" s="79">
        <f>267/30</f>
        <v>8.9</v>
      </c>
      <c r="BH19" s="79"/>
      <c r="BI19" s="79">
        <f>221/30</f>
        <v>7.3666666666666663</v>
      </c>
      <c r="BJ19" s="79">
        <f>153/30</f>
        <v>5.0999999999999996</v>
      </c>
      <c r="BK19" s="79">
        <f>254/30</f>
        <v>8.4666666666666668</v>
      </c>
      <c r="BL19" s="15"/>
    </row>
    <row r="20" spans="1:64" ht="36" customHeight="1" x14ac:dyDescent="0.3">
      <c r="A20" s="15">
        <v>18</v>
      </c>
      <c r="B20" s="16" t="s">
        <v>742</v>
      </c>
      <c r="C20" s="16" t="s">
        <v>743</v>
      </c>
      <c r="D20" s="15">
        <v>2015</v>
      </c>
      <c r="E20" s="17" t="s">
        <v>307</v>
      </c>
      <c r="F20" s="15" t="s">
        <v>308</v>
      </c>
      <c r="G20" s="19" t="s">
        <v>225</v>
      </c>
      <c r="H20" s="48">
        <v>33120000000</v>
      </c>
      <c r="I20" s="53">
        <v>243</v>
      </c>
      <c r="J20" s="48">
        <v>1635555555.5555556</v>
      </c>
      <c r="K20" s="18" t="s">
        <v>243</v>
      </c>
      <c r="L20" s="15" t="s">
        <v>93</v>
      </c>
      <c r="M20" s="15" t="s">
        <v>104</v>
      </c>
      <c r="N20" s="15" t="s">
        <v>199</v>
      </c>
      <c r="O20" s="15" t="s">
        <v>42</v>
      </c>
      <c r="P20" s="15" t="s">
        <v>4</v>
      </c>
      <c r="Q20" s="70">
        <v>2796.2</v>
      </c>
      <c r="R20" s="70">
        <v>768.06</v>
      </c>
      <c r="S20" s="81">
        <v>21043.16</v>
      </c>
      <c r="T20" s="48">
        <v>5</v>
      </c>
      <c r="U20" s="53">
        <v>22</v>
      </c>
      <c r="V20" s="15" t="s">
        <v>18</v>
      </c>
      <c r="W20" s="18" t="s">
        <v>16</v>
      </c>
      <c r="X20" s="18" t="s">
        <v>64</v>
      </c>
      <c r="Y20" s="18" t="s">
        <v>62</v>
      </c>
      <c r="Z20" s="18" t="s">
        <v>1074</v>
      </c>
      <c r="AA20" s="18" t="s">
        <v>41</v>
      </c>
      <c r="AB20" s="18" t="s">
        <v>20</v>
      </c>
      <c r="AC20" s="18"/>
      <c r="AD20" s="18" t="s">
        <v>260</v>
      </c>
      <c r="AE20" s="18" t="s">
        <v>1085</v>
      </c>
      <c r="AF20" s="18"/>
      <c r="AG20" s="85"/>
      <c r="AH20" s="18" t="s">
        <v>264</v>
      </c>
      <c r="AI20" s="85"/>
      <c r="AJ20" s="85"/>
      <c r="AK20" s="85"/>
      <c r="AL20" s="91">
        <f t="shared" si="2"/>
        <v>72090</v>
      </c>
      <c r="AM20" s="92"/>
      <c r="AN20" s="91">
        <f>33930+20624</f>
        <v>54554</v>
      </c>
      <c r="AO20" s="91">
        <f>2420+2028</f>
        <v>4448</v>
      </c>
      <c r="AP20" s="91">
        <f>6664+6424</f>
        <v>13088</v>
      </c>
      <c r="AQ20" s="92"/>
      <c r="AR20" s="91">
        <f t="shared" si="3"/>
        <v>72090</v>
      </c>
      <c r="AS20" s="85"/>
      <c r="AT20" s="85"/>
      <c r="AU20" s="85"/>
      <c r="AV20" s="85"/>
      <c r="AW20" s="87">
        <f>17+17</f>
        <v>34</v>
      </c>
      <c r="AX20" s="85"/>
      <c r="AY20" s="92"/>
      <c r="AZ20" s="85"/>
      <c r="BA20" s="85"/>
      <c r="BB20" s="91">
        <f>2212+1333+2206+1095+3169+3328+3243+3039</f>
        <v>19625</v>
      </c>
      <c r="BC20" s="91">
        <f>260+223+263+177</f>
        <v>923</v>
      </c>
      <c r="BD20" s="101">
        <v>28</v>
      </c>
      <c r="BE20" s="102">
        <v>28</v>
      </c>
      <c r="BF20" s="79">
        <f>47/30</f>
        <v>1.5666666666666667</v>
      </c>
      <c r="BG20" s="79">
        <f>284/30</f>
        <v>9.4666666666666668</v>
      </c>
      <c r="BH20" s="79"/>
      <c r="BI20" s="79">
        <f>515/30</f>
        <v>17.166666666666668</v>
      </c>
      <c r="BJ20" s="79">
        <f>283/30</f>
        <v>9.4333333333333336</v>
      </c>
      <c r="BK20" s="79">
        <f>332/30</f>
        <v>11.066666666666666</v>
      </c>
      <c r="BL20" s="15" t="s">
        <v>53</v>
      </c>
    </row>
    <row r="21" spans="1:64" ht="36" customHeight="1" x14ac:dyDescent="0.3">
      <c r="A21" s="15">
        <v>19</v>
      </c>
      <c r="B21" s="16" t="s">
        <v>744</v>
      </c>
      <c r="C21" s="16" t="s">
        <v>745</v>
      </c>
      <c r="D21" s="15">
        <v>2015</v>
      </c>
      <c r="E21" s="21" t="s">
        <v>54</v>
      </c>
      <c r="F21" s="15" t="s">
        <v>309</v>
      </c>
      <c r="G21" s="19" t="s">
        <v>225</v>
      </c>
      <c r="H21" s="48">
        <v>20603000000</v>
      </c>
      <c r="I21" s="53">
        <v>151.19999999999999</v>
      </c>
      <c r="J21" s="48">
        <v>1635158730.1587303</v>
      </c>
      <c r="K21" s="18" t="s">
        <v>243</v>
      </c>
      <c r="L21" s="15" t="s">
        <v>91</v>
      </c>
      <c r="M21" s="15" t="s">
        <v>105</v>
      </c>
      <c r="N21" s="15" t="s">
        <v>199</v>
      </c>
      <c r="O21" s="15" t="s">
        <v>42</v>
      </c>
      <c r="P21" s="15" t="s">
        <v>31</v>
      </c>
      <c r="Q21" s="70">
        <v>916.9</v>
      </c>
      <c r="R21" s="70">
        <v>658.56</v>
      </c>
      <c r="S21" s="81">
        <v>10709.27</v>
      </c>
      <c r="T21" s="48">
        <v>4</v>
      </c>
      <c r="U21" s="53">
        <v>14</v>
      </c>
      <c r="V21" s="15" t="s">
        <v>16</v>
      </c>
      <c r="W21" s="18" t="s">
        <v>16</v>
      </c>
      <c r="X21" s="18" t="s">
        <v>9</v>
      </c>
      <c r="Y21" s="18" t="s">
        <v>62</v>
      </c>
      <c r="Z21" s="18"/>
      <c r="AA21" s="18"/>
      <c r="AB21" s="18" t="s">
        <v>20</v>
      </c>
      <c r="AC21" s="18"/>
      <c r="AD21" s="18" t="s">
        <v>267</v>
      </c>
      <c r="AE21" s="18" t="s">
        <v>265</v>
      </c>
      <c r="AF21" s="18"/>
      <c r="AG21" s="85"/>
      <c r="AH21" s="18" t="s">
        <v>264</v>
      </c>
      <c r="AI21" s="85"/>
      <c r="AJ21" s="85"/>
      <c r="AK21" s="85"/>
      <c r="AL21" s="91">
        <f t="shared" si="2"/>
        <v>18142</v>
      </c>
      <c r="AM21" s="91">
        <v>5359</v>
      </c>
      <c r="AN21" s="91">
        <v>1294</v>
      </c>
      <c r="AO21" s="91">
        <v>4053</v>
      </c>
      <c r="AP21" s="91">
        <f>1574+1059+3190</f>
        <v>5823</v>
      </c>
      <c r="AQ21" s="91">
        <v>1613</v>
      </c>
      <c r="AR21" s="91">
        <f t="shared" si="3"/>
        <v>18142</v>
      </c>
      <c r="AS21" s="85"/>
      <c r="AT21" s="93">
        <v>160</v>
      </c>
      <c r="AU21" s="85"/>
      <c r="AV21" s="85">
        <v>105</v>
      </c>
      <c r="AW21" s="85"/>
      <c r="AX21" s="85"/>
      <c r="AY21" s="92"/>
      <c r="AZ21" s="85"/>
      <c r="BA21" s="85"/>
      <c r="BB21" s="91">
        <f>4175+67+5006+19</f>
        <v>9267</v>
      </c>
      <c r="BC21" s="92"/>
      <c r="BD21" s="101">
        <v>22</v>
      </c>
      <c r="BE21" s="102">
        <v>22</v>
      </c>
      <c r="BF21" s="79"/>
      <c r="BG21" s="79">
        <v>8</v>
      </c>
      <c r="BH21" s="79"/>
      <c r="BI21" s="79">
        <v>10</v>
      </c>
      <c r="BJ21" s="79">
        <v>6.5</v>
      </c>
      <c r="BK21" s="79">
        <v>10</v>
      </c>
      <c r="BL21" s="15"/>
    </row>
    <row r="22" spans="1:64" ht="36" customHeight="1" x14ac:dyDescent="0.3">
      <c r="A22" s="15">
        <v>20</v>
      </c>
      <c r="B22" s="16" t="s">
        <v>746</v>
      </c>
      <c r="C22" s="16" t="s">
        <v>747</v>
      </c>
      <c r="D22" s="15">
        <v>2015</v>
      </c>
      <c r="E22" s="21" t="s">
        <v>55</v>
      </c>
      <c r="F22" s="15" t="s">
        <v>310</v>
      </c>
      <c r="G22" s="19" t="s">
        <v>225</v>
      </c>
      <c r="H22" s="48">
        <v>24856000000</v>
      </c>
      <c r="I22" s="53">
        <v>159</v>
      </c>
      <c r="J22" s="48">
        <v>1875924528.301887</v>
      </c>
      <c r="K22" s="18" t="s">
        <v>243</v>
      </c>
      <c r="L22" s="15" t="s">
        <v>93</v>
      </c>
      <c r="M22" s="15" t="s">
        <v>106</v>
      </c>
      <c r="N22" s="15" t="s">
        <v>199</v>
      </c>
      <c r="O22" s="15" t="s">
        <v>42</v>
      </c>
      <c r="P22" s="15" t="s">
        <v>4</v>
      </c>
      <c r="Q22" s="70">
        <v>1488.2</v>
      </c>
      <c r="R22" s="70">
        <v>853.6</v>
      </c>
      <c r="S22" s="81">
        <v>19759.63</v>
      </c>
      <c r="T22" s="48">
        <v>7</v>
      </c>
      <c r="U22" s="53">
        <v>15</v>
      </c>
      <c r="V22" s="15" t="s">
        <v>18</v>
      </c>
      <c r="W22" s="18" t="s">
        <v>18</v>
      </c>
      <c r="X22" s="18" t="s">
        <v>64</v>
      </c>
      <c r="Y22" s="18" t="s">
        <v>62</v>
      </c>
      <c r="Z22" s="18" t="s">
        <v>1074</v>
      </c>
      <c r="AA22" s="18"/>
      <c r="AB22" s="18" t="s">
        <v>20</v>
      </c>
      <c r="AC22" s="18"/>
      <c r="AD22" s="18" t="s">
        <v>267</v>
      </c>
      <c r="AE22" s="18" t="s">
        <v>265</v>
      </c>
      <c r="AF22" s="18" t="s">
        <v>1134</v>
      </c>
      <c r="AG22" s="85"/>
      <c r="AH22" s="18" t="s">
        <v>264</v>
      </c>
      <c r="AI22" s="85"/>
      <c r="AJ22" s="85"/>
      <c r="AK22" s="85"/>
      <c r="AL22" s="91">
        <f t="shared" si="2"/>
        <v>33570</v>
      </c>
      <c r="AM22" s="92"/>
      <c r="AN22" s="91">
        <v>8965</v>
      </c>
      <c r="AO22" s="91">
        <v>2160</v>
      </c>
      <c r="AP22" s="91">
        <f>2693+19752</f>
        <v>22445</v>
      </c>
      <c r="AQ22" s="92"/>
      <c r="AR22" s="91">
        <f t="shared" si="3"/>
        <v>33570</v>
      </c>
      <c r="AS22" s="85"/>
      <c r="AT22" s="87">
        <v>191</v>
      </c>
      <c r="AU22" s="87">
        <v>74</v>
      </c>
      <c r="AV22" s="87">
        <v>76</v>
      </c>
      <c r="AW22" s="87">
        <v>13</v>
      </c>
      <c r="AX22" s="85"/>
      <c r="AY22" s="92"/>
      <c r="AZ22" s="85"/>
      <c r="BA22" s="85"/>
      <c r="BB22" s="91">
        <f>3080+6711</f>
        <v>9791</v>
      </c>
      <c r="BC22" s="91">
        <f>709.891+86.302+277.82+44.745+289.32+36.001</f>
        <v>1444.0789999999997</v>
      </c>
      <c r="BD22" s="101">
        <v>25</v>
      </c>
      <c r="BE22" s="102">
        <v>25</v>
      </c>
      <c r="BF22" s="79"/>
      <c r="BG22" s="79">
        <f>688/30</f>
        <v>22.933333333333334</v>
      </c>
      <c r="BH22" s="79"/>
      <c r="BI22" s="79">
        <f>524/30</f>
        <v>17.466666666666665</v>
      </c>
      <c r="BJ22" s="79">
        <f>208/30</f>
        <v>6.9333333333333336</v>
      </c>
      <c r="BK22" s="79">
        <f>568/30</f>
        <v>18.933333333333334</v>
      </c>
      <c r="BL22" s="15" t="s">
        <v>51</v>
      </c>
    </row>
    <row r="23" spans="1:64" ht="36" customHeight="1" x14ac:dyDescent="0.3">
      <c r="A23" s="15">
        <v>21</v>
      </c>
      <c r="B23" s="16" t="s">
        <v>748</v>
      </c>
      <c r="C23" s="16" t="s">
        <v>749</v>
      </c>
      <c r="D23" s="15">
        <v>2015</v>
      </c>
      <c r="E23" s="17" t="s">
        <v>56</v>
      </c>
      <c r="F23" s="15" t="s">
        <v>311</v>
      </c>
      <c r="G23" s="19" t="s">
        <v>225</v>
      </c>
      <c r="H23" s="48">
        <v>38970000000</v>
      </c>
      <c r="I23" s="53">
        <v>161</v>
      </c>
      <c r="J23" s="48">
        <v>2904596273.2919254</v>
      </c>
      <c r="K23" s="18" t="s">
        <v>243</v>
      </c>
      <c r="L23" s="15" t="s">
        <v>93</v>
      </c>
      <c r="M23" s="15" t="s">
        <v>107</v>
      </c>
      <c r="N23" s="15" t="s">
        <v>199</v>
      </c>
      <c r="O23" s="18" t="s">
        <v>5</v>
      </c>
      <c r="P23" s="15" t="s">
        <v>57</v>
      </c>
      <c r="Q23" s="70">
        <v>16499</v>
      </c>
      <c r="R23" s="70">
        <v>9895.4699999999993</v>
      </c>
      <c r="S23" s="81">
        <v>96147.68</v>
      </c>
      <c r="T23" s="48">
        <v>1</v>
      </c>
      <c r="U23" s="53">
        <v>10</v>
      </c>
      <c r="V23" s="15"/>
      <c r="W23" s="18" t="s">
        <v>18</v>
      </c>
      <c r="X23" s="18"/>
      <c r="Y23" s="18"/>
      <c r="Z23" s="18"/>
      <c r="AA23" s="18"/>
      <c r="AB23" s="18"/>
      <c r="AC23" s="18"/>
      <c r="AD23" s="18" t="s">
        <v>312</v>
      </c>
      <c r="AE23" s="18" t="s">
        <v>265</v>
      </c>
      <c r="AF23" s="18"/>
      <c r="AG23" s="85"/>
      <c r="AH23" s="18" t="s">
        <v>264</v>
      </c>
      <c r="AI23" s="85"/>
      <c r="AJ23" s="85"/>
      <c r="AK23" s="85"/>
      <c r="AL23" s="91">
        <f t="shared" si="2"/>
        <v>3389</v>
      </c>
      <c r="AM23" s="92"/>
      <c r="AN23" s="91">
        <v>3389</v>
      </c>
      <c r="AO23" s="92"/>
      <c r="AP23" s="92"/>
      <c r="AQ23" s="92"/>
      <c r="AR23" s="91">
        <f t="shared" si="3"/>
        <v>3389</v>
      </c>
      <c r="AS23" s="85"/>
      <c r="AT23" s="85"/>
      <c r="AU23" s="85"/>
      <c r="AV23" s="85">
        <v>65</v>
      </c>
      <c r="AW23" s="85"/>
      <c r="AX23" s="85">
        <v>215</v>
      </c>
      <c r="AY23" s="92"/>
      <c r="AZ23" s="85"/>
      <c r="BA23" s="85"/>
      <c r="BB23" s="91">
        <f>634+4403+434</f>
        <v>5471</v>
      </c>
      <c r="BC23" s="91">
        <f>2452+2+6+5+1</f>
        <v>2466</v>
      </c>
      <c r="BD23" s="101">
        <v>14</v>
      </c>
      <c r="BE23" s="102">
        <v>14</v>
      </c>
      <c r="BF23" s="79"/>
      <c r="BG23" s="79">
        <f>127/30</f>
        <v>4.2333333333333334</v>
      </c>
      <c r="BH23" s="79"/>
      <c r="BI23" s="79">
        <f>311/30</f>
        <v>10.366666666666667</v>
      </c>
      <c r="BJ23" s="79">
        <f>173/30</f>
        <v>5.7666666666666666</v>
      </c>
      <c r="BK23" s="79">
        <f>160/30</f>
        <v>5.333333333333333</v>
      </c>
      <c r="BL23" s="15" t="s">
        <v>313</v>
      </c>
    </row>
    <row r="24" spans="1:64" ht="36" customHeight="1" x14ac:dyDescent="0.3">
      <c r="A24" s="15">
        <v>22</v>
      </c>
      <c r="B24" s="16" t="s">
        <v>750</v>
      </c>
      <c r="C24" s="16" t="s">
        <v>751</v>
      </c>
      <c r="D24" s="15">
        <v>2015</v>
      </c>
      <c r="E24" s="17" t="s">
        <v>315</v>
      </c>
      <c r="F24" s="15" t="s">
        <v>314</v>
      </c>
      <c r="G24" s="19" t="s">
        <v>225</v>
      </c>
      <c r="H24" s="48">
        <v>6787480000</v>
      </c>
      <c r="I24" s="53">
        <v>43</v>
      </c>
      <c r="J24" s="48">
        <v>1894180465.1162791</v>
      </c>
      <c r="K24" s="18" t="s">
        <v>241</v>
      </c>
      <c r="L24" s="15" t="s">
        <v>93</v>
      </c>
      <c r="M24" s="15" t="s">
        <v>108</v>
      </c>
      <c r="N24" s="15" t="s">
        <v>90</v>
      </c>
      <c r="O24" s="15" t="s">
        <v>42</v>
      </c>
      <c r="P24" s="15" t="s">
        <v>31</v>
      </c>
      <c r="Q24" s="70">
        <v>1386.3</v>
      </c>
      <c r="R24" s="70">
        <v>694.58</v>
      </c>
      <c r="S24" s="81">
        <v>3786.01</v>
      </c>
      <c r="T24" s="48">
        <v>2</v>
      </c>
      <c r="U24" s="53">
        <v>5</v>
      </c>
      <c r="V24" s="15" t="s">
        <v>16</v>
      </c>
      <c r="W24" s="18" t="s">
        <v>16</v>
      </c>
      <c r="X24" s="18" t="s">
        <v>9</v>
      </c>
      <c r="Y24" s="18" t="s">
        <v>62</v>
      </c>
      <c r="Z24" s="18"/>
      <c r="AA24" s="18"/>
      <c r="AB24" s="18" t="s">
        <v>20</v>
      </c>
      <c r="AC24" s="18"/>
      <c r="AD24" s="18" t="s">
        <v>1080</v>
      </c>
      <c r="AE24" s="18" t="s">
        <v>481</v>
      </c>
      <c r="AF24" s="18"/>
      <c r="AG24" s="85"/>
      <c r="AH24" s="18" t="s">
        <v>264</v>
      </c>
      <c r="AI24" s="85"/>
      <c r="AJ24" s="85"/>
      <c r="AK24" s="85"/>
      <c r="AL24" s="91">
        <f t="shared" si="2"/>
        <v>4888</v>
      </c>
      <c r="AM24" s="91">
        <v>4888</v>
      </c>
      <c r="AN24" s="92"/>
      <c r="AO24" s="92"/>
      <c r="AP24" s="92"/>
      <c r="AQ24" s="92"/>
      <c r="AR24" s="91">
        <f t="shared" si="3"/>
        <v>4888</v>
      </c>
      <c r="AS24" s="85"/>
      <c r="AT24" s="87">
        <v>105</v>
      </c>
      <c r="AU24" s="85"/>
      <c r="AV24" s="85"/>
      <c r="AW24" s="85"/>
      <c r="AX24" s="85"/>
      <c r="AY24" s="92"/>
      <c r="AZ24" s="85"/>
      <c r="BA24" s="85"/>
      <c r="BB24" s="91">
        <v>3170</v>
      </c>
      <c r="BC24" s="92"/>
      <c r="BD24" s="101">
        <v>10</v>
      </c>
      <c r="BE24" s="102">
        <v>10</v>
      </c>
      <c r="BF24" s="79"/>
      <c r="BG24" s="79">
        <v>1.5</v>
      </c>
      <c r="BH24" s="79"/>
      <c r="BI24" s="79">
        <v>4</v>
      </c>
      <c r="BJ24" s="79">
        <v>4</v>
      </c>
      <c r="BK24" s="79">
        <v>2.5</v>
      </c>
      <c r="BL24" s="15"/>
    </row>
    <row r="25" spans="1:64" ht="36" customHeight="1" x14ac:dyDescent="0.3">
      <c r="A25" s="15">
        <v>23</v>
      </c>
      <c r="B25" s="16" t="s">
        <v>752</v>
      </c>
      <c r="C25" s="16" t="s">
        <v>753</v>
      </c>
      <c r="D25" s="15">
        <v>2016</v>
      </c>
      <c r="E25" s="17" t="s">
        <v>663</v>
      </c>
      <c r="F25" s="15" t="s">
        <v>655</v>
      </c>
      <c r="G25" s="19" t="s">
        <v>225</v>
      </c>
      <c r="H25" s="48">
        <v>31530000000</v>
      </c>
      <c r="I25" s="53"/>
      <c r="J25" s="53"/>
      <c r="K25" s="18" t="s">
        <v>243</v>
      </c>
      <c r="L25" s="15" t="s">
        <v>93</v>
      </c>
      <c r="M25" s="15" t="s">
        <v>106</v>
      </c>
      <c r="N25" s="15" t="s">
        <v>199</v>
      </c>
      <c r="O25" s="15" t="s">
        <v>42</v>
      </c>
      <c r="P25" s="15" t="s">
        <v>4</v>
      </c>
      <c r="Q25" s="70">
        <v>1855.5</v>
      </c>
      <c r="R25" s="70">
        <v>938.39</v>
      </c>
      <c r="S25" s="81">
        <v>23239.040000000001</v>
      </c>
      <c r="T25" s="48">
        <v>2</v>
      </c>
      <c r="U25" s="53">
        <v>20</v>
      </c>
      <c r="V25" s="15" t="s">
        <v>18</v>
      </c>
      <c r="W25" s="18"/>
      <c r="X25" s="18" t="s">
        <v>64</v>
      </c>
      <c r="Y25" s="18"/>
      <c r="Z25" s="18"/>
      <c r="AA25" s="18"/>
      <c r="AB25" s="18"/>
      <c r="AC25" s="18"/>
      <c r="AD25" s="18"/>
      <c r="AE25" s="18"/>
      <c r="AF25" s="18" t="s">
        <v>1134</v>
      </c>
      <c r="AG25" s="85"/>
      <c r="AH25" s="18"/>
      <c r="AI25" s="85"/>
      <c r="AJ25" s="85">
        <v>2</v>
      </c>
      <c r="AK25" s="85">
        <v>3</v>
      </c>
      <c r="AL25" s="91">
        <f t="shared" si="2"/>
        <v>43435</v>
      </c>
      <c r="AM25" s="92"/>
      <c r="AN25" s="91">
        <v>1645</v>
      </c>
      <c r="AO25" s="91">
        <v>4277</v>
      </c>
      <c r="AP25" s="91">
        <v>19411</v>
      </c>
      <c r="AQ25" s="91">
        <v>18102</v>
      </c>
      <c r="AR25" s="91">
        <f t="shared" si="3"/>
        <v>43435</v>
      </c>
      <c r="AS25" s="85"/>
      <c r="AT25" s="85"/>
      <c r="AU25" s="93"/>
      <c r="AV25" s="85">
        <v>90</v>
      </c>
      <c r="AW25" s="87">
        <v>25</v>
      </c>
      <c r="AX25" s="85"/>
      <c r="AY25" s="92"/>
      <c r="AZ25" s="85"/>
      <c r="BA25" s="85"/>
      <c r="BB25" s="91">
        <f>7688+8091</f>
        <v>15779</v>
      </c>
      <c r="BC25" s="91">
        <f>265+120+575+19+5+4</f>
        <v>988</v>
      </c>
      <c r="BD25" s="101">
        <v>31.3</v>
      </c>
      <c r="BE25" s="102"/>
      <c r="BF25" s="79"/>
      <c r="BG25" s="79">
        <v>12</v>
      </c>
      <c r="BH25" s="79"/>
      <c r="BI25" s="79">
        <v>19</v>
      </c>
      <c r="BJ25" s="79">
        <v>9</v>
      </c>
      <c r="BK25" s="79">
        <v>8</v>
      </c>
      <c r="BL25" s="15"/>
    </row>
    <row r="26" spans="1:64" s="28" customFormat="1" ht="36" customHeight="1" x14ac:dyDescent="0.3">
      <c r="A26" s="15">
        <v>24</v>
      </c>
      <c r="B26" s="16" t="s">
        <v>754</v>
      </c>
      <c r="C26" s="16" t="s">
        <v>755</v>
      </c>
      <c r="D26" s="15">
        <v>2016</v>
      </c>
      <c r="E26" s="17" t="s">
        <v>316</v>
      </c>
      <c r="F26" s="15" t="s">
        <v>317</v>
      </c>
      <c r="G26" s="19" t="s">
        <v>225</v>
      </c>
      <c r="H26" s="48">
        <v>28490000000</v>
      </c>
      <c r="I26" s="53">
        <v>108.5</v>
      </c>
      <c r="J26" s="48">
        <v>3150967741.9354839</v>
      </c>
      <c r="K26" s="18" t="s">
        <v>243</v>
      </c>
      <c r="L26" s="15" t="s">
        <v>1049</v>
      </c>
      <c r="M26" s="15" t="s">
        <v>109</v>
      </c>
      <c r="N26" s="15" t="s">
        <v>90</v>
      </c>
      <c r="O26" s="15" t="s">
        <v>42</v>
      </c>
      <c r="P26" s="15" t="s">
        <v>7</v>
      </c>
      <c r="Q26" s="70">
        <v>29963.06</v>
      </c>
      <c r="R26" s="70">
        <v>11726.88</v>
      </c>
      <c r="S26" s="81">
        <v>43405.16</v>
      </c>
      <c r="T26" s="48">
        <v>2</v>
      </c>
      <c r="U26" s="53">
        <v>4</v>
      </c>
      <c r="V26" s="15" t="s">
        <v>24</v>
      </c>
      <c r="W26" s="18" t="s">
        <v>24</v>
      </c>
      <c r="X26" s="18" t="s">
        <v>9</v>
      </c>
      <c r="Y26" s="18" t="s">
        <v>62</v>
      </c>
      <c r="Z26" s="18"/>
      <c r="AA26" s="18"/>
      <c r="AB26" s="18" t="s">
        <v>1197</v>
      </c>
      <c r="AC26" s="18"/>
      <c r="AD26" s="18" t="s">
        <v>1081</v>
      </c>
      <c r="AE26" s="18"/>
      <c r="AF26" s="18"/>
      <c r="AG26" s="85"/>
      <c r="AH26" s="18" t="s">
        <v>285</v>
      </c>
      <c r="AI26" s="85"/>
      <c r="AJ26" s="85"/>
      <c r="AK26" s="85"/>
      <c r="AL26" s="91">
        <f t="shared" si="2"/>
        <v>202456</v>
      </c>
      <c r="AM26" s="91">
        <f>172175+3763+287+45+10641</f>
        <v>186911</v>
      </c>
      <c r="AN26" s="92"/>
      <c r="AO26" s="92"/>
      <c r="AP26" s="91">
        <v>15545</v>
      </c>
      <c r="AQ26" s="92"/>
      <c r="AR26" s="91">
        <f t="shared" si="3"/>
        <v>202456</v>
      </c>
      <c r="AS26" s="85"/>
      <c r="AT26" s="87">
        <v>155</v>
      </c>
      <c r="AU26" s="85"/>
      <c r="AV26" s="85"/>
      <c r="AW26" s="85"/>
      <c r="AX26" s="85"/>
      <c r="AY26" s="92"/>
      <c r="AZ26" s="85"/>
      <c r="BA26" s="87">
        <f>1749+2732+4284</f>
        <v>8765</v>
      </c>
      <c r="BB26" s="91">
        <f>16534+51+47</f>
        <v>16632</v>
      </c>
      <c r="BC26" s="91">
        <f>428+258</f>
        <v>686</v>
      </c>
      <c r="BD26" s="101">
        <v>16</v>
      </c>
      <c r="BE26" s="102">
        <v>16</v>
      </c>
      <c r="BF26" s="79"/>
      <c r="BG26" s="79">
        <f>442/30</f>
        <v>14.733333333333333</v>
      </c>
      <c r="BH26" s="79">
        <f>298/30</f>
        <v>9.9333333333333336</v>
      </c>
      <c r="BI26" s="79">
        <f>432/30</f>
        <v>14.4</v>
      </c>
      <c r="BJ26" s="79">
        <f>303/30</f>
        <v>10.1</v>
      </c>
      <c r="BK26" s="79">
        <v>10</v>
      </c>
      <c r="BL26" s="15"/>
    </row>
    <row r="27" spans="1:64" ht="36" customHeight="1" x14ac:dyDescent="0.3">
      <c r="A27" s="15">
        <v>25</v>
      </c>
      <c r="B27" s="16" t="s">
        <v>756</v>
      </c>
      <c r="C27" s="16" t="s">
        <v>757</v>
      </c>
      <c r="D27" s="15">
        <v>2016</v>
      </c>
      <c r="E27" s="21" t="s">
        <v>318</v>
      </c>
      <c r="F27" s="15" t="s">
        <v>319</v>
      </c>
      <c r="G27" s="19" t="s">
        <v>225</v>
      </c>
      <c r="H27" s="48">
        <v>20085000000</v>
      </c>
      <c r="I27" s="53">
        <v>126</v>
      </c>
      <c r="J27" s="48">
        <v>1912857142.8571429</v>
      </c>
      <c r="K27" s="18" t="s">
        <v>241</v>
      </c>
      <c r="L27" s="15" t="s">
        <v>93</v>
      </c>
      <c r="M27" s="15" t="s">
        <v>107</v>
      </c>
      <c r="N27" s="15" t="s">
        <v>199</v>
      </c>
      <c r="O27" s="15" t="s">
        <v>42</v>
      </c>
      <c r="P27" s="15" t="s">
        <v>4</v>
      </c>
      <c r="Q27" s="70">
        <v>1833</v>
      </c>
      <c r="R27" s="70">
        <v>1099.27</v>
      </c>
      <c r="S27" s="81">
        <v>18231.88</v>
      </c>
      <c r="T27" s="48">
        <v>5</v>
      </c>
      <c r="U27" s="53">
        <v>11</v>
      </c>
      <c r="V27" s="15" t="s">
        <v>16</v>
      </c>
      <c r="W27" s="18" t="s">
        <v>16</v>
      </c>
      <c r="X27" s="18" t="s">
        <v>9</v>
      </c>
      <c r="Y27" s="18" t="s">
        <v>62</v>
      </c>
      <c r="Z27" s="18"/>
      <c r="AA27" s="18"/>
      <c r="AB27" s="18" t="s">
        <v>20</v>
      </c>
      <c r="AC27" s="18"/>
      <c r="AD27" s="18" t="s">
        <v>260</v>
      </c>
      <c r="AE27" s="18" t="s">
        <v>265</v>
      </c>
      <c r="AF27" s="18"/>
      <c r="AG27" s="85"/>
      <c r="AH27" s="18" t="s">
        <v>264</v>
      </c>
      <c r="AI27" s="85"/>
      <c r="AJ27" s="85"/>
      <c r="AK27" s="85"/>
      <c r="AL27" s="91">
        <f t="shared" si="2"/>
        <v>76587</v>
      </c>
      <c r="AM27" s="91">
        <v>69361</v>
      </c>
      <c r="AN27" s="92"/>
      <c r="AO27" s="91">
        <v>7226</v>
      </c>
      <c r="AP27" s="92"/>
      <c r="AQ27" s="92"/>
      <c r="AR27" s="91">
        <f t="shared" si="3"/>
        <v>76587</v>
      </c>
      <c r="AS27" s="85"/>
      <c r="AT27" s="87">
        <v>212</v>
      </c>
      <c r="AU27" s="85"/>
      <c r="AV27" s="85"/>
      <c r="AW27" s="85"/>
      <c r="AX27" s="85"/>
      <c r="AY27" s="92"/>
      <c r="AZ27" s="85"/>
      <c r="BA27" s="85"/>
      <c r="BB27" s="91">
        <v>13876</v>
      </c>
      <c r="BC27" s="92"/>
      <c r="BD27" s="101">
        <v>28</v>
      </c>
      <c r="BE27" s="102">
        <v>28</v>
      </c>
      <c r="BF27" s="79"/>
      <c r="BG27" s="79">
        <f>202/30</f>
        <v>6.7333333333333334</v>
      </c>
      <c r="BH27" s="79"/>
      <c r="BI27" s="79">
        <f>297/30</f>
        <v>9.9</v>
      </c>
      <c r="BJ27" s="79">
        <f>170/30</f>
        <v>5.666666666666667</v>
      </c>
      <c r="BK27" s="79">
        <f>290/30</f>
        <v>9.6666666666666661</v>
      </c>
      <c r="BL27" s="15"/>
    </row>
    <row r="28" spans="1:64" ht="36" customHeight="1" x14ac:dyDescent="0.3">
      <c r="A28" s="15">
        <v>26</v>
      </c>
      <c r="B28" s="16" t="s">
        <v>758</v>
      </c>
      <c r="C28" s="16" t="s">
        <v>759</v>
      </c>
      <c r="D28" s="15">
        <v>2016</v>
      </c>
      <c r="E28" s="17" t="s">
        <v>321</v>
      </c>
      <c r="F28" s="15" t="s">
        <v>320</v>
      </c>
      <c r="G28" s="19" t="s">
        <v>225</v>
      </c>
      <c r="H28" s="48">
        <f>8930944000+99201056000</f>
        <v>108132000000</v>
      </c>
      <c r="I28" s="53">
        <v>246</v>
      </c>
      <c r="J28" s="48">
        <v>5274731707.3170738</v>
      </c>
      <c r="K28" s="18" t="s">
        <v>241</v>
      </c>
      <c r="L28" s="15" t="s">
        <v>1049</v>
      </c>
      <c r="M28" s="15" t="s">
        <v>88</v>
      </c>
      <c r="N28" s="15" t="s">
        <v>90</v>
      </c>
      <c r="O28" s="15" t="s">
        <v>42</v>
      </c>
      <c r="P28" s="15" t="s">
        <v>57</v>
      </c>
      <c r="Q28" s="70">
        <v>48961</v>
      </c>
      <c r="R28" s="70">
        <v>29265.9</v>
      </c>
      <c r="S28" s="81">
        <v>167156</v>
      </c>
      <c r="T28" s="48">
        <v>3</v>
      </c>
      <c r="U28" s="53">
        <v>4</v>
      </c>
      <c r="V28" s="15" t="s">
        <v>24</v>
      </c>
      <c r="W28" s="18" t="s">
        <v>24</v>
      </c>
      <c r="X28" s="18" t="s">
        <v>9</v>
      </c>
      <c r="Y28" s="18" t="s">
        <v>62</v>
      </c>
      <c r="Z28" s="18"/>
      <c r="AA28" s="18"/>
      <c r="AB28" s="18" t="s">
        <v>1196</v>
      </c>
      <c r="AC28" s="18"/>
      <c r="AD28" s="18" t="s">
        <v>1086</v>
      </c>
      <c r="AE28" s="18" t="s">
        <v>265</v>
      </c>
      <c r="AF28" s="18"/>
      <c r="AG28" s="85"/>
      <c r="AH28" s="18" t="s">
        <v>264</v>
      </c>
      <c r="AI28" s="85"/>
      <c r="AJ28" s="85"/>
      <c r="AK28" s="85"/>
      <c r="AL28" s="91">
        <f t="shared" si="2"/>
        <v>704865</v>
      </c>
      <c r="AM28" s="91">
        <f>401280+4803+18900</f>
        <v>424983</v>
      </c>
      <c r="AN28" s="92"/>
      <c r="AO28" s="91">
        <f>113688+13500</f>
        <v>127188</v>
      </c>
      <c r="AP28" s="91">
        <f>131513+19854</f>
        <v>151367</v>
      </c>
      <c r="AQ28" s="91">
        <v>1327</v>
      </c>
      <c r="AR28" s="91">
        <f t="shared" si="3"/>
        <v>704865</v>
      </c>
      <c r="AS28" s="85"/>
      <c r="AT28" s="85"/>
      <c r="AU28" s="85"/>
      <c r="AV28" s="85"/>
      <c r="AW28" s="85"/>
      <c r="AX28" s="85"/>
      <c r="AY28" s="92"/>
      <c r="AZ28" s="85"/>
      <c r="BA28" s="85"/>
      <c r="BB28" s="91">
        <v>2517</v>
      </c>
      <c r="BC28" s="92"/>
      <c r="BD28" s="101">
        <v>16</v>
      </c>
      <c r="BE28" s="102">
        <v>16</v>
      </c>
      <c r="BF28" s="79"/>
      <c r="BG28" s="79">
        <v>2</v>
      </c>
      <c r="BH28" s="79">
        <f>180/30</f>
        <v>6</v>
      </c>
      <c r="BI28" s="79">
        <v>8</v>
      </c>
      <c r="BJ28" s="79">
        <v>6</v>
      </c>
      <c r="BK28" s="79">
        <v>9</v>
      </c>
      <c r="BL28" s="15"/>
    </row>
    <row r="29" spans="1:64" ht="36" customHeight="1" x14ac:dyDescent="0.3">
      <c r="A29" s="24">
        <v>27</v>
      </c>
      <c r="B29" s="25" t="s">
        <v>760</v>
      </c>
      <c r="C29" s="25" t="s">
        <v>761</v>
      </c>
      <c r="D29" s="24">
        <v>2016</v>
      </c>
      <c r="E29" s="26" t="s">
        <v>326</v>
      </c>
      <c r="F29" s="24" t="s">
        <v>322</v>
      </c>
      <c r="G29" s="26" t="s">
        <v>225</v>
      </c>
      <c r="H29" s="49">
        <v>195654000000</v>
      </c>
      <c r="I29" s="55">
        <v>216</v>
      </c>
      <c r="J29" s="49">
        <v>10869666666.666668</v>
      </c>
      <c r="K29" s="27" t="s">
        <v>241</v>
      </c>
      <c r="L29" s="24" t="s">
        <v>93</v>
      </c>
      <c r="M29" s="24" t="s">
        <v>102</v>
      </c>
      <c r="N29" s="24" t="s">
        <v>199</v>
      </c>
      <c r="O29" s="24" t="s">
        <v>59</v>
      </c>
      <c r="P29" s="24" t="s">
        <v>6</v>
      </c>
      <c r="Q29" s="71">
        <v>3859.28</v>
      </c>
      <c r="R29" s="71">
        <v>598.32000000000005</v>
      </c>
      <c r="S29" s="71">
        <v>3585.11</v>
      </c>
      <c r="T29" s="49">
        <v>6</v>
      </c>
      <c r="U29" s="55">
        <v>5</v>
      </c>
      <c r="V29" s="24" t="s">
        <v>16</v>
      </c>
      <c r="W29" s="27" t="s">
        <v>16</v>
      </c>
      <c r="X29" s="27" t="s">
        <v>9</v>
      </c>
      <c r="Y29" s="27" t="s">
        <v>62</v>
      </c>
      <c r="Z29" s="27"/>
      <c r="AA29" s="27"/>
      <c r="AB29" s="27" t="s">
        <v>1198</v>
      </c>
      <c r="AC29" s="27"/>
      <c r="AD29" s="27" t="s">
        <v>265</v>
      </c>
      <c r="AE29" s="27" t="s">
        <v>296</v>
      </c>
      <c r="AF29" s="27"/>
      <c r="AG29" s="86"/>
      <c r="AH29" s="27" t="s">
        <v>325</v>
      </c>
      <c r="AI29" s="86"/>
      <c r="AJ29" s="86"/>
      <c r="AK29" s="86"/>
      <c r="AL29" s="94"/>
      <c r="AM29" s="94"/>
      <c r="AN29" s="94"/>
      <c r="AO29" s="94"/>
      <c r="AP29" s="94"/>
      <c r="AQ29" s="94"/>
      <c r="AR29" s="94"/>
      <c r="AS29" s="86"/>
      <c r="AT29" s="86"/>
      <c r="AU29" s="86"/>
      <c r="AV29" s="85"/>
      <c r="AW29" s="86"/>
      <c r="AX29" s="86"/>
      <c r="AY29" s="94"/>
      <c r="AZ29" s="86"/>
      <c r="BA29" s="86"/>
      <c r="BB29" s="94"/>
      <c r="BC29" s="94"/>
      <c r="BD29" s="103">
        <v>23</v>
      </c>
      <c r="BE29" s="104">
        <v>23</v>
      </c>
      <c r="BF29" s="67">
        <f>576/30</f>
        <v>19.2</v>
      </c>
      <c r="BG29" s="67">
        <f>582/30</f>
        <v>19.399999999999999</v>
      </c>
      <c r="BH29" s="67"/>
      <c r="BI29" s="67">
        <f>274/30</f>
        <v>9.1333333333333329</v>
      </c>
      <c r="BJ29" s="67">
        <f>259/30</f>
        <v>8.6333333333333329</v>
      </c>
      <c r="BK29" s="67">
        <f>216/30</f>
        <v>7.2</v>
      </c>
      <c r="BL29" s="24" t="s">
        <v>323</v>
      </c>
    </row>
    <row r="30" spans="1:64" ht="36" customHeight="1" x14ac:dyDescent="0.3">
      <c r="A30" s="15">
        <v>28</v>
      </c>
      <c r="B30" s="16" t="s">
        <v>762</v>
      </c>
      <c r="C30" s="16" t="s">
        <v>763</v>
      </c>
      <c r="D30" s="15">
        <v>2016</v>
      </c>
      <c r="E30" s="21" t="s">
        <v>63</v>
      </c>
      <c r="F30" s="15" t="s">
        <v>324</v>
      </c>
      <c r="G30" s="19" t="s">
        <v>225</v>
      </c>
      <c r="H30" s="48">
        <v>35090000000</v>
      </c>
      <c r="I30" s="53">
        <v>222</v>
      </c>
      <c r="J30" s="48">
        <v>1896756756.7567568</v>
      </c>
      <c r="K30" s="18" t="s">
        <v>241</v>
      </c>
      <c r="L30" s="15" t="s">
        <v>1049</v>
      </c>
      <c r="M30" s="15" t="s">
        <v>111</v>
      </c>
      <c r="N30" s="15" t="s">
        <v>90</v>
      </c>
      <c r="O30" s="15" t="s">
        <v>42</v>
      </c>
      <c r="P30" s="15" t="s">
        <v>620</v>
      </c>
      <c r="Q30" s="70">
        <v>1710099</v>
      </c>
      <c r="R30" s="70"/>
      <c r="S30" s="81"/>
      <c r="T30" s="48">
        <v>0</v>
      </c>
      <c r="U30" s="53" t="s">
        <v>1194</v>
      </c>
      <c r="V30" s="15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85"/>
      <c r="AH30" s="18"/>
      <c r="AI30" s="85"/>
      <c r="AJ30" s="85"/>
      <c r="AK30" s="85"/>
      <c r="AL30" s="91">
        <f t="shared" ref="AL30:AL52" si="4">SUM(AM30:AQ30)</f>
        <v>2688544</v>
      </c>
      <c r="AM30" s="91">
        <v>1475268</v>
      </c>
      <c r="AN30" s="92"/>
      <c r="AO30" s="91">
        <v>428286</v>
      </c>
      <c r="AP30" s="91">
        <v>616908</v>
      </c>
      <c r="AQ30" s="91">
        <f>141770+26312</f>
        <v>168082</v>
      </c>
      <c r="AR30" s="91">
        <f t="shared" ref="AR30:AR61" si="5">AL30</f>
        <v>2688544</v>
      </c>
      <c r="AS30" s="85"/>
      <c r="AT30" s="85"/>
      <c r="AU30" s="85"/>
      <c r="AV30" s="85"/>
      <c r="AW30" s="85"/>
      <c r="AX30" s="85"/>
      <c r="AY30" s="92"/>
      <c r="AZ30" s="85"/>
      <c r="BA30" s="85"/>
      <c r="BB30" s="92"/>
      <c r="BC30" s="92"/>
      <c r="BD30" s="101">
        <v>24</v>
      </c>
      <c r="BE30" s="102">
        <v>19</v>
      </c>
      <c r="BF30" s="79"/>
      <c r="BG30" s="79">
        <v>19</v>
      </c>
      <c r="BH30" s="79"/>
      <c r="BI30" s="79"/>
      <c r="BJ30" s="79"/>
      <c r="BK30" s="79"/>
      <c r="BL30" s="15"/>
    </row>
    <row r="31" spans="1:64" ht="36" customHeight="1" x14ac:dyDescent="0.3">
      <c r="A31" s="15">
        <v>29</v>
      </c>
      <c r="B31" s="16" t="s">
        <v>764</v>
      </c>
      <c r="C31" s="16" t="s">
        <v>765</v>
      </c>
      <c r="D31" s="15">
        <v>2016</v>
      </c>
      <c r="E31" s="17" t="s">
        <v>69</v>
      </c>
      <c r="F31" s="15" t="s">
        <v>205</v>
      </c>
      <c r="G31" s="19" t="s">
        <v>225</v>
      </c>
      <c r="H31" s="48">
        <v>12752000000</v>
      </c>
      <c r="I31" s="53">
        <v>50</v>
      </c>
      <c r="J31" s="48">
        <v>3060480000</v>
      </c>
      <c r="K31" s="18" t="s">
        <v>241</v>
      </c>
      <c r="L31" s="15" t="s">
        <v>112</v>
      </c>
      <c r="M31" s="15" t="s">
        <v>113</v>
      </c>
      <c r="N31" s="15" t="s">
        <v>90</v>
      </c>
      <c r="O31" s="15" t="s">
        <v>42</v>
      </c>
      <c r="P31" s="15" t="s">
        <v>14</v>
      </c>
      <c r="Q31" s="70">
        <v>123642.6</v>
      </c>
      <c r="R31" s="70">
        <v>35786.239999999998</v>
      </c>
      <c r="S31" s="81">
        <v>50244.38</v>
      </c>
      <c r="T31" s="48">
        <v>1</v>
      </c>
      <c r="U31" s="53">
        <v>2</v>
      </c>
      <c r="V31" s="15" t="s">
        <v>16</v>
      </c>
      <c r="W31" s="18" t="s">
        <v>1050</v>
      </c>
      <c r="X31" s="18" t="s">
        <v>9</v>
      </c>
      <c r="Y31" s="18" t="s">
        <v>61</v>
      </c>
      <c r="Z31" s="18"/>
      <c r="AA31" s="18"/>
      <c r="AB31" s="18" t="s">
        <v>74</v>
      </c>
      <c r="AC31" s="18" t="s">
        <v>1063</v>
      </c>
      <c r="AD31" s="18" t="s">
        <v>1209</v>
      </c>
      <c r="AE31" s="18" t="s">
        <v>266</v>
      </c>
      <c r="AF31" s="20" t="s">
        <v>1118</v>
      </c>
      <c r="AG31" s="87">
        <v>2</v>
      </c>
      <c r="AH31" s="18" t="s">
        <v>285</v>
      </c>
      <c r="AI31" s="85"/>
      <c r="AJ31" s="87">
        <v>4</v>
      </c>
      <c r="AK31" s="87">
        <v>2</v>
      </c>
      <c r="AL31" s="91">
        <f t="shared" si="4"/>
        <v>35504</v>
      </c>
      <c r="AM31" s="91">
        <f>35075+429</f>
        <v>35504</v>
      </c>
      <c r="AN31" s="92"/>
      <c r="AO31" s="92"/>
      <c r="AP31" s="92"/>
      <c r="AQ31" s="92"/>
      <c r="AR31" s="91">
        <f t="shared" si="5"/>
        <v>35504</v>
      </c>
      <c r="AS31" s="93">
        <v>474</v>
      </c>
      <c r="AT31" s="85"/>
      <c r="AU31" s="85"/>
      <c r="AV31" s="85"/>
      <c r="AW31" s="85"/>
      <c r="AX31" s="85"/>
      <c r="AY31" s="91">
        <v>474</v>
      </c>
      <c r="AZ31" s="85"/>
      <c r="BA31" s="85"/>
      <c r="BB31" s="91">
        <f>6965+23+158</f>
        <v>7146</v>
      </c>
      <c r="BC31" s="91">
        <f>399+48</f>
        <v>447</v>
      </c>
      <c r="BD31" s="101">
        <v>8</v>
      </c>
      <c r="BE31" s="102">
        <f>262/30</f>
        <v>8.7333333333333325</v>
      </c>
      <c r="BF31" s="79"/>
      <c r="BG31" s="105">
        <v>1.9</v>
      </c>
      <c r="BH31" s="79"/>
      <c r="BI31" s="105">
        <v>4.0999999999999996</v>
      </c>
      <c r="BJ31" s="105">
        <v>4.8</v>
      </c>
      <c r="BK31" s="105">
        <v>2.5</v>
      </c>
      <c r="BL31" s="15"/>
    </row>
    <row r="32" spans="1:64" ht="36" customHeight="1" x14ac:dyDescent="0.3">
      <c r="A32" s="15">
        <v>30</v>
      </c>
      <c r="B32" s="16" t="s">
        <v>766</v>
      </c>
      <c r="C32" s="16" t="s">
        <v>767</v>
      </c>
      <c r="D32" s="17">
        <v>2016</v>
      </c>
      <c r="E32" s="17" t="s">
        <v>331</v>
      </c>
      <c r="F32" s="15" t="s">
        <v>472</v>
      </c>
      <c r="G32" s="19" t="s">
        <v>225</v>
      </c>
      <c r="H32" s="50">
        <v>49992000000</v>
      </c>
      <c r="I32" s="53"/>
      <c r="J32" s="53"/>
      <c r="K32" s="15" t="s">
        <v>241</v>
      </c>
      <c r="L32" s="17" t="s">
        <v>93</v>
      </c>
      <c r="M32" s="17" t="s">
        <v>102</v>
      </c>
      <c r="N32" s="17" t="s">
        <v>199</v>
      </c>
      <c r="O32" s="30" t="s">
        <v>42</v>
      </c>
      <c r="P32" s="21" t="s">
        <v>31</v>
      </c>
      <c r="Q32" s="72">
        <v>2538.8000000000002</v>
      </c>
      <c r="R32" s="72">
        <v>1514.4</v>
      </c>
      <c r="S32" s="72">
        <v>34486.03</v>
      </c>
      <c r="T32" s="58">
        <v>6</v>
      </c>
      <c r="U32" s="59">
        <v>20</v>
      </c>
      <c r="V32" s="17" t="s">
        <v>18</v>
      </c>
      <c r="W32" s="17" t="s">
        <v>16</v>
      </c>
      <c r="X32" s="21" t="s">
        <v>64</v>
      </c>
      <c r="Y32" s="17" t="s">
        <v>62</v>
      </c>
      <c r="Z32" s="18" t="s">
        <v>1074</v>
      </c>
      <c r="AA32" s="18" t="s">
        <v>41</v>
      </c>
      <c r="AB32" s="21" t="s">
        <v>20</v>
      </c>
      <c r="AC32" s="18"/>
      <c r="AD32" s="21" t="s">
        <v>1209</v>
      </c>
      <c r="AE32" s="18" t="s">
        <v>265</v>
      </c>
      <c r="AF32" s="18"/>
      <c r="AG32" s="85"/>
      <c r="AH32" s="17" t="s">
        <v>264</v>
      </c>
      <c r="AI32" s="59">
        <v>2</v>
      </c>
      <c r="AJ32" s="59"/>
      <c r="AK32" s="59"/>
      <c r="AL32" s="91">
        <f t="shared" si="4"/>
        <v>37755</v>
      </c>
      <c r="AM32" s="95">
        <v>6787</v>
      </c>
      <c r="AN32" s="95">
        <v>8770</v>
      </c>
      <c r="AO32" s="95">
        <v>22198</v>
      </c>
      <c r="AP32" s="65"/>
      <c r="AQ32" s="65"/>
      <c r="AR32" s="91">
        <f t="shared" si="5"/>
        <v>37755</v>
      </c>
      <c r="AS32" s="59"/>
      <c r="AT32" s="93">
        <v>238</v>
      </c>
      <c r="AU32" s="93">
        <v>238</v>
      </c>
      <c r="AV32" s="85"/>
      <c r="AW32" s="96">
        <v>31</v>
      </c>
      <c r="AX32" s="59"/>
      <c r="AY32" s="62"/>
      <c r="AZ32" s="59"/>
      <c r="BA32" s="59"/>
      <c r="BB32" s="97">
        <f>10768+10281</f>
        <v>21049</v>
      </c>
      <c r="BC32" s="97">
        <f>870+494+106+729+79</f>
        <v>2278</v>
      </c>
      <c r="BD32" s="106">
        <v>33</v>
      </c>
      <c r="BE32" s="107"/>
      <c r="BF32" s="79"/>
      <c r="BG32" s="107">
        <v>10</v>
      </c>
      <c r="BH32" s="79"/>
      <c r="BI32" s="107">
        <v>11</v>
      </c>
      <c r="BJ32" s="107">
        <v>9.5</v>
      </c>
      <c r="BK32" s="107">
        <v>11</v>
      </c>
      <c r="BL32" s="21"/>
    </row>
    <row r="33" spans="1:64" ht="36" customHeight="1" x14ac:dyDescent="0.3">
      <c r="A33" s="15">
        <v>31</v>
      </c>
      <c r="B33" s="16" t="s">
        <v>768</v>
      </c>
      <c r="C33" s="16" t="s">
        <v>769</v>
      </c>
      <c r="D33" s="15">
        <v>2017</v>
      </c>
      <c r="E33" s="17" t="s">
        <v>71</v>
      </c>
      <c r="F33" s="15" t="s">
        <v>502</v>
      </c>
      <c r="G33" s="19" t="s">
        <v>225</v>
      </c>
      <c r="H33" s="48">
        <v>53000000000</v>
      </c>
      <c r="I33" s="53">
        <v>265.2</v>
      </c>
      <c r="J33" s="48">
        <v>2398190045.2488689</v>
      </c>
      <c r="K33" s="18" t="s">
        <v>241</v>
      </c>
      <c r="L33" s="15" t="s">
        <v>93</v>
      </c>
      <c r="M33" s="15" t="s">
        <v>87</v>
      </c>
      <c r="N33" s="15" t="s">
        <v>90</v>
      </c>
      <c r="O33" s="15" t="s">
        <v>42</v>
      </c>
      <c r="P33" s="15" t="s">
        <v>6</v>
      </c>
      <c r="Q33" s="70">
        <v>8127</v>
      </c>
      <c r="R33" s="70">
        <v>3045.19</v>
      </c>
      <c r="S33" s="81">
        <v>31784.97</v>
      </c>
      <c r="T33" s="48">
        <v>4</v>
      </c>
      <c r="U33" s="53">
        <v>6</v>
      </c>
      <c r="V33" s="15" t="s">
        <v>18</v>
      </c>
      <c r="W33" s="18" t="s">
        <v>1050</v>
      </c>
      <c r="X33" s="18" t="s">
        <v>64</v>
      </c>
      <c r="Y33" s="18" t="s">
        <v>62</v>
      </c>
      <c r="Z33" s="18" t="s">
        <v>1077</v>
      </c>
      <c r="AA33" s="18" t="s">
        <v>1053</v>
      </c>
      <c r="AB33" s="18" t="s">
        <v>45</v>
      </c>
      <c r="AC33" s="18"/>
      <c r="AD33" s="18" t="s">
        <v>1209</v>
      </c>
      <c r="AE33" s="18" t="s">
        <v>1092</v>
      </c>
      <c r="AF33" s="18"/>
      <c r="AG33" s="85"/>
      <c r="AH33" s="18" t="s">
        <v>264</v>
      </c>
      <c r="AI33" s="85"/>
      <c r="AJ33" s="85"/>
      <c r="AK33" s="85"/>
      <c r="AL33" s="91">
        <f t="shared" si="4"/>
        <v>93360</v>
      </c>
      <c r="AM33" s="91">
        <v>62928</v>
      </c>
      <c r="AN33" s="92"/>
      <c r="AO33" s="91">
        <v>30432</v>
      </c>
      <c r="AP33" s="92"/>
      <c r="AQ33" s="92"/>
      <c r="AR33" s="91">
        <f t="shared" si="5"/>
        <v>93360</v>
      </c>
      <c r="AS33" s="87">
        <f>3004+2719+196</f>
        <v>5919</v>
      </c>
      <c r="AT33" s="85"/>
      <c r="AU33" s="85"/>
      <c r="AV33" s="85"/>
      <c r="AW33" s="87">
        <f>54+14</f>
        <v>68</v>
      </c>
      <c r="AX33" s="85"/>
      <c r="AY33" s="92"/>
      <c r="AZ33" s="85"/>
      <c r="BA33" s="85"/>
      <c r="BB33" s="91">
        <f>11727+6198+40</f>
        <v>17965</v>
      </c>
      <c r="BC33" s="91">
        <f>914+976+618</f>
        <v>2508</v>
      </c>
      <c r="BD33" s="101">
        <v>27.5</v>
      </c>
      <c r="BE33" s="102">
        <v>26</v>
      </c>
      <c r="BF33" s="79"/>
      <c r="BG33" s="79">
        <f>698/30</f>
        <v>23.266666666666666</v>
      </c>
      <c r="BH33" s="79"/>
      <c r="BI33" s="79">
        <f>651/30</f>
        <v>21.7</v>
      </c>
      <c r="BJ33" s="79">
        <f>498/30</f>
        <v>16.600000000000001</v>
      </c>
      <c r="BK33" s="79">
        <f>544/30</f>
        <v>18.133333333333333</v>
      </c>
      <c r="BL33" s="15"/>
    </row>
    <row r="34" spans="1:64" ht="36" customHeight="1" x14ac:dyDescent="0.3">
      <c r="A34" s="15">
        <v>32</v>
      </c>
      <c r="B34" s="16" t="s">
        <v>770</v>
      </c>
      <c r="C34" s="16" t="s">
        <v>771</v>
      </c>
      <c r="D34" s="15">
        <v>2017</v>
      </c>
      <c r="E34" s="17" t="s">
        <v>49</v>
      </c>
      <c r="F34" s="15" t="s">
        <v>503</v>
      </c>
      <c r="G34" s="19" t="s">
        <v>225</v>
      </c>
      <c r="H34" s="48">
        <v>20588181818</v>
      </c>
      <c r="I34" s="53">
        <v>169.2</v>
      </c>
      <c r="J34" s="48">
        <v>1460154738.8652482</v>
      </c>
      <c r="K34" s="18" t="s">
        <v>241</v>
      </c>
      <c r="L34" s="15" t="s">
        <v>93</v>
      </c>
      <c r="M34" s="15" t="s">
        <v>114</v>
      </c>
      <c r="N34" s="15" t="s">
        <v>199</v>
      </c>
      <c r="O34" s="15" t="s">
        <v>42</v>
      </c>
      <c r="P34" s="15" t="s">
        <v>4</v>
      </c>
      <c r="Q34" s="70">
        <v>1527</v>
      </c>
      <c r="R34" s="70">
        <v>820.38</v>
      </c>
      <c r="S34" s="81">
        <v>14817.69</v>
      </c>
      <c r="T34" s="48">
        <v>5</v>
      </c>
      <c r="U34" s="53">
        <v>13</v>
      </c>
      <c r="V34" s="15" t="s">
        <v>18</v>
      </c>
      <c r="W34" s="18" t="s">
        <v>1050</v>
      </c>
      <c r="X34" s="18" t="s">
        <v>64</v>
      </c>
      <c r="Y34" s="18" t="s">
        <v>62</v>
      </c>
      <c r="Z34" s="18" t="s">
        <v>1074</v>
      </c>
      <c r="AA34" s="18"/>
      <c r="AB34" s="18" t="s">
        <v>45</v>
      </c>
      <c r="AC34" s="18"/>
      <c r="AD34" s="18" t="s">
        <v>1087</v>
      </c>
      <c r="AE34" s="18" t="s">
        <v>1091</v>
      </c>
      <c r="AF34" s="18"/>
      <c r="AG34" s="85"/>
      <c r="AH34" s="18" t="s">
        <v>264</v>
      </c>
      <c r="AI34" s="85"/>
      <c r="AJ34" s="85"/>
      <c r="AK34" s="85"/>
      <c r="AL34" s="91">
        <f t="shared" si="4"/>
        <v>31224</v>
      </c>
      <c r="AM34" s="91">
        <f>24096+2790</f>
        <v>26886</v>
      </c>
      <c r="AN34" s="92"/>
      <c r="AO34" s="91">
        <v>4338</v>
      </c>
      <c r="AP34" s="92"/>
      <c r="AQ34" s="92"/>
      <c r="AR34" s="91">
        <f t="shared" si="5"/>
        <v>31224</v>
      </c>
      <c r="AS34" s="87">
        <f>999+1968+740</f>
        <v>3707</v>
      </c>
      <c r="AT34" s="85"/>
      <c r="AU34" s="85"/>
      <c r="AV34" s="85"/>
      <c r="AW34" s="87">
        <v>18</v>
      </c>
      <c r="AX34" s="85"/>
      <c r="AY34" s="92"/>
      <c r="AZ34" s="85"/>
      <c r="BA34" s="85"/>
      <c r="BB34" s="91">
        <f>3514+3023</f>
        <v>6537</v>
      </c>
      <c r="BC34" s="91">
        <f>370+152+780+17</f>
        <v>1319</v>
      </c>
      <c r="BD34" s="101">
        <v>24</v>
      </c>
      <c r="BE34" s="102">
        <f>682/30</f>
        <v>22.733333333333334</v>
      </c>
      <c r="BF34" s="79">
        <f>50/30</f>
        <v>1.6666666666666667</v>
      </c>
      <c r="BG34" s="79">
        <f>375/30</f>
        <v>12.5</v>
      </c>
      <c r="BH34" s="79"/>
      <c r="BI34" s="79">
        <f>504/30</f>
        <v>16.8</v>
      </c>
      <c r="BJ34" s="79">
        <f>199/30</f>
        <v>6.6333333333333337</v>
      </c>
      <c r="BK34" s="79">
        <f>192/30</f>
        <v>6.4</v>
      </c>
      <c r="BL34" s="15" t="s">
        <v>44</v>
      </c>
    </row>
    <row r="35" spans="1:64" ht="36" customHeight="1" x14ac:dyDescent="0.3">
      <c r="A35" s="15">
        <v>33</v>
      </c>
      <c r="B35" s="16" t="s">
        <v>772</v>
      </c>
      <c r="C35" s="16" t="s">
        <v>773</v>
      </c>
      <c r="D35" s="15">
        <v>2017</v>
      </c>
      <c r="E35" s="17" t="s">
        <v>328</v>
      </c>
      <c r="F35" s="15" t="s">
        <v>504</v>
      </c>
      <c r="G35" s="19" t="s">
        <v>225</v>
      </c>
      <c r="H35" s="48">
        <v>17110000000</v>
      </c>
      <c r="I35" s="53">
        <v>128.5</v>
      </c>
      <c r="J35" s="48">
        <v>1597821011.6731517</v>
      </c>
      <c r="K35" s="18" t="s">
        <v>243</v>
      </c>
      <c r="L35" s="15" t="s">
        <v>93</v>
      </c>
      <c r="M35" s="15" t="s">
        <v>115</v>
      </c>
      <c r="N35" s="15" t="s">
        <v>199</v>
      </c>
      <c r="O35" s="15" t="s">
        <v>42</v>
      </c>
      <c r="P35" s="15" t="s">
        <v>57</v>
      </c>
      <c r="Q35" s="70">
        <v>3077</v>
      </c>
      <c r="R35" s="70">
        <v>1537.03</v>
      </c>
      <c r="S35" s="81">
        <v>13476</v>
      </c>
      <c r="T35" s="48">
        <v>3</v>
      </c>
      <c r="U35" s="53">
        <v>6</v>
      </c>
      <c r="V35" s="15" t="s">
        <v>18</v>
      </c>
      <c r="W35" s="18" t="s">
        <v>16</v>
      </c>
      <c r="X35" s="18" t="s">
        <v>64</v>
      </c>
      <c r="Y35" s="18" t="s">
        <v>62</v>
      </c>
      <c r="Z35" s="18" t="s">
        <v>1077</v>
      </c>
      <c r="AA35" s="18"/>
      <c r="AB35" s="18" t="s">
        <v>1056</v>
      </c>
      <c r="AC35" s="18"/>
      <c r="AD35" s="18" t="s">
        <v>1090</v>
      </c>
      <c r="AE35" s="18" t="s">
        <v>481</v>
      </c>
      <c r="AF35" s="18" t="s">
        <v>1134</v>
      </c>
      <c r="AG35" s="85">
        <v>2</v>
      </c>
      <c r="AH35" s="18" t="s">
        <v>264</v>
      </c>
      <c r="AI35" s="85"/>
      <c r="AJ35" s="85"/>
      <c r="AK35" s="85"/>
      <c r="AL35" s="91">
        <f t="shared" si="4"/>
        <v>29742</v>
      </c>
      <c r="AM35" s="91">
        <v>29742</v>
      </c>
      <c r="AN35" s="92"/>
      <c r="AO35" s="92"/>
      <c r="AP35" s="92"/>
      <c r="AQ35" s="92"/>
      <c r="AR35" s="91">
        <f t="shared" si="5"/>
        <v>29742</v>
      </c>
      <c r="AS35" s="85"/>
      <c r="AT35" s="87">
        <v>461</v>
      </c>
      <c r="AU35" s="87">
        <v>146</v>
      </c>
      <c r="AV35" s="85"/>
      <c r="AW35" s="85"/>
      <c r="AX35" s="85"/>
      <c r="AY35" s="92"/>
      <c r="AZ35" s="85"/>
      <c r="BA35" s="85"/>
      <c r="BB35" s="91">
        <f>5758+2840</f>
        <v>8598</v>
      </c>
      <c r="BC35" s="91">
        <f>3+5+2+3+172</f>
        <v>185</v>
      </c>
      <c r="BD35" s="101">
        <v>16.5</v>
      </c>
      <c r="BE35" s="102">
        <f>490/30</f>
        <v>16.333333333333332</v>
      </c>
      <c r="BF35" s="79">
        <v>3</v>
      </c>
      <c r="BG35" s="79">
        <f>217/30</f>
        <v>7.2333333333333334</v>
      </c>
      <c r="BH35" s="79"/>
      <c r="BI35" s="79">
        <f>147/30</f>
        <v>4.9000000000000004</v>
      </c>
      <c r="BJ35" s="79">
        <f>95/30</f>
        <v>3.1666666666666665</v>
      </c>
      <c r="BK35" s="79">
        <f>97/30</f>
        <v>3.2333333333333334</v>
      </c>
      <c r="BL35" s="15" t="s">
        <v>44</v>
      </c>
    </row>
    <row r="36" spans="1:64" ht="36" customHeight="1" x14ac:dyDescent="0.3">
      <c r="A36" s="15">
        <v>34</v>
      </c>
      <c r="B36" s="16" t="s">
        <v>774</v>
      </c>
      <c r="C36" s="16" t="s">
        <v>775</v>
      </c>
      <c r="D36" s="15">
        <v>2017</v>
      </c>
      <c r="E36" s="17" t="s">
        <v>625</v>
      </c>
      <c r="F36" s="15" t="s">
        <v>505</v>
      </c>
      <c r="G36" s="19" t="s">
        <v>225</v>
      </c>
      <c r="H36" s="48">
        <v>92800000000</v>
      </c>
      <c r="I36" s="53">
        <v>276.8</v>
      </c>
      <c r="J36" s="48">
        <v>4023121387.2832365</v>
      </c>
      <c r="K36" s="18" t="s">
        <v>243</v>
      </c>
      <c r="L36" s="15" t="s">
        <v>1049</v>
      </c>
      <c r="M36" s="15" t="s">
        <v>116</v>
      </c>
      <c r="N36" s="15" t="s">
        <v>90</v>
      </c>
      <c r="O36" s="15" t="s">
        <v>42</v>
      </c>
      <c r="P36" s="15" t="s">
        <v>7</v>
      </c>
      <c r="Q36" s="70">
        <v>36368.9</v>
      </c>
      <c r="R36" s="70">
        <v>25220.75</v>
      </c>
      <c r="S36" s="81">
        <v>123057.79</v>
      </c>
      <c r="T36" s="48">
        <v>0</v>
      </c>
      <c r="U36" s="53">
        <v>10</v>
      </c>
      <c r="V36" s="15"/>
      <c r="W36" s="18" t="s">
        <v>24</v>
      </c>
      <c r="X36" s="18" t="s">
        <v>9</v>
      </c>
      <c r="Y36" s="18" t="s">
        <v>61</v>
      </c>
      <c r="Z36" s="18"/>
      <c r="AA36" s="18"/>
      <c r="AB36" s="18" t="s">
        <v>33</v>
      </c>
      <c r="AC36" s="18"/>
      <c r="AD36" s="18" t="s">
        <v>1082</v>
      </c>
      <c r="AE36" s="18" t="s">
        <v>1093</v>
      </c>
      <c r="AF36" s="18"/>
      <c r="AG36" s="85"/>
      <c r="AH36" s="18" t="s">
        <v>285</v>
      </c>
      <c r="AI36" s="85"/>
      <c r="AJ36" s="85"/>
      <c r="AK36" s="85"/>
      <c r="AL36" s="91">
        <f t="shared" si="4"/>
        <v>55213</v>
      </c>
      <c r="AM36" s="91">
        <f>44908+10022+283</f>
        <v>55213</v>
      </c>
      <c r="AN36" s="92"/>
      <c r="AO36" s="92"/>
      <c r="AP36" s="92"/>
      <c r="AQ36" s="92"/>
      <c r="AR36" s="91">
        <f t="shared" si="5"/>
        <v>55213</v>
      </c>
      <c r="AS36" s="85"/>
      <c r="AT36" s="85"/>
      <c r="AU36" s="85"/>
      <c r="AV36" s="85"/>
      <c r="AW36" s="85"/>
      <c r="AX36" s="85"/>
      <c r="AY36" s="91">
        <v>1761</v>
      </c>
      <c r="AZ36" s="85"/>
      <c r="BA36" s="87">
        <f>31046+23833+428</f>
        <v>55307</v>
      </c>
      <c r="BB36" s="91">
        <f>45886+125+86+73</f>
        <v>46170</v>
      </c>
      <c r="BC36" s="91">
        <f>88+921+89+914+366+42+81</f>
        <v>2501</v>
      </c>
      <c r="BD36" s="101">
        <v>17</v>
      </c>
      <c r="BE36" s="102">
        <f>527/30</f>
        <v>17.566666666666666</v>
      </c>
      <c r="BF36" s="79"/>
      <c r="BG36" s="79">
        <f>363/30</f>
        <v>12.1</v>
      </c>
      <c r="BH36" s="79">
        <f>293/30</f>
        <v>9.7666666666666675</v>
      </c>
      <c r="BI36" s="79">
        <f>473/30</f>
        <v>15.766666666666667</v>
      </c>
      <c r="BJ36" s="79">
        <f>201/30</f>
        <v>6.7</v>
      </c>
      <c r="BK36" s="79">
        <f>475/30</f>
        <v>15.833333333333334</v>
      </c>
      <c r="BL36" s="15"/>
    </row>
    <row r="37" spans="1:64" ht="36" customHeight="1" x14ac:dyDescent="0.3">
      <c r="A37" s="15">
        <v>35</v>
      </c>
      <c r="B37" s="16" t="s">
        <v>776</v>
      </c>
      <c r="C37" s="16" t="s">
        <v>777</v>
      </c>
      <c r="D37" s="15">
        <v>2017</v>
      </c>
      <c r="E37" s="17" t="s">
        <v>563</v>
      </c>
      <c r="F37" s="15" t="s">
        <v>471</v>
      </c>
      <c r="G37" s="19" t="s">
        <v>225</v>
      </c>
      <c r="H37" s="48">
        <v>5996200000</v>
      </c>
      <c r="I37" s="53">
        <v>55</v>
      </c>
      <c r="J37" s="48">
        <v>1308261818.1818182</v>
      </c>
      <c r="K37" s="18" t="s">
        <v>241</v>
      </c>
      <c r="L37" s="15" t="s">
        <v>84</v>
      </c>
      <c r="M37" s="15" t="s">
        <v>85</v>
      </c>
      <c r="N37" s="15" t="s">
        <v>90</v>
      </c>
      <c r="O37" s="15" t="s">
        <v>59</v>
      </c>
      <c r="P37" s="15" t="s">
        <v>694</v>
      </c>
      <c r="Q37" s="70">
        <v>82598.5</v>
      </c>
      <c r="R37" s="70">
        <v>14201.37</v>
      </c>
      <c r="S37" s="81">
        <v>15276.22</v>
      </c>
      <c r="T37" s="48">
        <v>1</v>
      </c>
      <c r="U37" s="53">
        <v>3</v>
      </c>
      <c r="V37" s="15" t="s">
        <v>16</v>
      </c>
      <c r="W37" s="18" t="s">
        <v>1050</v>
      </c>
      <c r="X37" s="18" t="s">
        <v>9</v>
      </c>
      <c r="Y37" s="18" t="s">
        <v>61</v>
      </c>
      <c r="Z37" s="18"/>
      <c r="AA37" s="18"/>
      <c r="AB37" s="18" t="s">
        <v>1196</v>
      </c>
      <c r="AC37" s="18"/>
      <c r="AD37" s="18" t="s">
        <v>1209</v>
      </c>
      <c r="AE37" s="18" t="s">
        <v>481</v>
      </c>
      <c r="AF37" s="18"/>
      <c r="AG37" s="85"/>
      <c r="AH37" s="18" t="s">
        <v>285</v>
      </c>
      <c r="AI37" s="85"/>
      <c r="AJ37" s="85"/>
      <c r="AK37" s="85"/>
      <c r="AL37" s="91">
        <f t="shared" si="4"/>
        <v>454</v>
      </c>
      <c r="AM37" s="91">
        <v>454</v>
      </c>
      <c r="AN37" s="92"/>
      <c r="AO37" s="92"/>
      <c r="AP37" s="92"/>
      <c r="AQ37" s="92"/>
      <c r="AR37" s="91">
        <f t="shared" si="5"/>
        <v>454</v>
      </c>
      <c r="AS37" s="85"/>
      <c r="AT37" s="85"/>
      <c r="AU37" s="85"/>
      <c r="AV37" s="85"/>
      <c r="AW37" s="85"/>
      <c r="AX37" s="87">
        <f>89+22</f>
        <v>111</v>
      </c>
      <c r="AY37" s="92"/>
      <c r="AZ37" s="85"/>
      <c r="BA37" s="85"/>
      <c r="BB37" s="91">
        <f>343+709</f>
        <v>1052</v>
      </c>
      <c r="BC37" s="91">
        <f>103+34+1+4+19+24</f>
        <v>185</v>
      </c>
      <c r="BD37" s="101">
        <v>10</v>
      </c>
      <c r="BE37" s="102"/>
      <c r="BF37" s="79"/>
      <c r="BG37" s="79"/>
      <c r="BH37" s="79"/>
      <c r="BI37" s="79"/>
      <c r="BJ37" s="79"/>
      <c r="BK37" s="79"/>
      <c r="BL37" s="15"/>
    </row>
    <row r="38" spans="1:64" ht="36" customHeight="1" x14ac:dyDescent="0.3">
      <c r="A38" s="15">
        <v>36</v>
      </c>
      <c r="B38" s="16" t="s">
        <v>778</v>
      </c>
      <c r="C38" s="16" t="s">
        <v>779</v>
      </c>
      <c r="D38" s="15">
        <v>2017</v>
      </c>
      <c r="E38" s="17" t="s">
        <v>506</v>
      </c>
      <c r="F38" s="15" t="s">
        <v>507</v>
      </c>
      <c r="G38" s="19" t="s">
        <v>225</v>
      </c>
      <c r="H38" s="48">
        <v>9500000000</v>
      </c>
      <c r="I38" s="53">
        <v>23</v>
      </c>
      <c r="J38" s="48">
        <v>4956521739.130435</v>
      </c>
      <c r="K38" s="18" t="s">
        <v>241</v>
      </c>
      <c r="L38" s="15" t="s">
        <v>118</v>
      </c>
      <c r="M38" s="15" t="s">
        <v>119</v>
      </c>
      <c r="N38" s="15" t="s">
        <v>90</v>
      </c>
      <c r="O38" s="15" t="s">
        <v>59</v>
      </c>
      <c r="P38" s="15" t="s">
        <v>7</v>
      </c>
      <c r="Q38" s="70">
        <v>276177</v>
      </c>
      <c r="R38" s="70">
        <v>19988.490000000002</v>
      </c>
      <c r="S38" s="81">
        <v>17155.86</v>
      </c>
      <c r="T38" s="48">
        <v>0</v>
      </c>
      <c r="U38" s="53">
        <v>2</v>
      </c>
      <c r="V38" s="15"/>
      <c r="W38" s="18" t="s">
        <v>1050</v>
      </c>
      <c r="X38" s="18" t="s">
        <v>9</v>
      </c>
      <c r="Y38" s="18" t="s">
        <v>61</v>
      </c>
      <c r="Z38" s="18"/>
      <c r="AA38" s="18"/>
      <c r="AB38" s="18"/>
      <c r="AC38" s="18"/>
      <c r="AD38" s="18" t="s">
        <v>1081</v>
      </c>
      <c r="AE38" s="18"/>
      <c r="AF38" s="18"/>
      <c r="AG38" s="85"/>
      <c r="AH38" s="18" t="s">
        <v>285</v>
      </c>
      <c r="AI38" s="85"/>
      <c r="AJ38" s="85"/>
      <c r="AK38" s="85"/>
      <c r="AL38" s="91">
        <f t="shared" si="4"/>
        <v>1749</v>
      </c>
      <c r="AM38" s="91">
        <v>1749</v>
      </c>
      <c r="AN38" s="92"/>
      <c r="AO38" s="92"/>
      <c r="AP38" s="92"/>
      <c r="AQ38" s="92"/>
      <c r="AR38" s="91">
        <f t="shared" si="5"/>
        <v>1749</v>
      </c>
      <c r="AS38" s="85"/>
      <c r="AT38" s="85"/>
      <c r="AU38" s="85"/>
      <c r="AV38" s="85"/>
      <c r="AW38" s="85"/>
      <c r="AX38" s="85"/>
      <c r="AY38" s="91">
        <v>208</v>
      </c>
      <c r="AZ38" s="85"/>
      <c r="BA38" s="85"/>
      <c r="BB38" s="91">
        <v>1784</v>
      </c>
      <c r="BC38" s="92"/>
      <c r="BD38" s="101">
        <v>6</v>
      </c>
      <c r="BE38" s="102">
        <f>149/30</f>
        <v>4.9666666666666668</v>
      </c>
      <c r="BF38" s="79"/>
      <c r="BG38" s="79">
        <f>145/30</f>
        <v>4.833333333333333</v>
      </c>
      <c r="BH38" s="79"/>
      <c r="BI38" s="79">
        <f>142/30</f>
        <v>4.7333333333333334</v>
      </c>
      <c r="BJ38" s="79">
        <f>117/30</f>
        <v>3.9</v>
      </c>
      <c r="BK38" s="79">
        <f>94/30</f>
        <v>3.1333333333333333</v>
      </c>
      <c r="BL38" s="15" t="s">
        <v>68</v>
      </c>
    </row>
    <row r="39" spans="1:64" ht="36" customHeight="1" x14ac:dyDescent="0.3">
      <c r="A39" s="15">
        <v>37</v>
      </c>
      <c r="B39" s="16" t="s">
        <v>780</v>
      </c>
      <c r="C39" s="16" t="s">
        <v>781</v>
      </c>
      <c r="D39" s="15">
        <v>2017</v>
      </c>
      <c r="E39" s="17" t="s">
        <v>470</v>
      </c>
      <c r="F39" s="15" t="s">
        <v>332</v>
      </c>
      <c r="G39" s="19" t="s">
        <v>225</v>
      </c>
      <c r="H39" s="48">
        <v>37263000000</v>
      </c>
      <c r="I39" s="53">
        <v>256</v>
      </c>
      <c r="J39" s="48">
        <v>1746703125</v>
      </c>
      <c r="K39" s="18" t="s">
        <v>241</v>
      </c>
      <c r="L39" s="15" t="s">
        <v>93</v>
      </c>
      <c r="M39" s="15" t="s">
        <v>87</v>
      </c>
      <c r="N39" s="15" t="s">
        <v>199</v>
      </c>
      <c r="O39" s="15" t="s">
        <v>42</v>
      </c>
      <c r="P39" s="15" t="s">
        <v>31</v>
      </c>
      <c r="Q39" s="70">
        <v>1235.0999999999999</v>
      </c>
      <c r="R39" s="70">
        <v>738.77</v>
      </c>
      <c r="S39" s="81">
        <v>16900.37</v>
      </c>
      <c r="T39" s="48">
        <v>6</v>
      </c>
      <c r="U39" s="53">
        <v>18</v>
      </c>
      <c r="V39" s="15"/>
      <c r="W39" s="18"/>
      <c r="X39" s="18" t="s">
        <v>64</v>
      </c>
      <c r="Y39" s="18"/>
      <c r="Z39" s="18"/>
      <c r="AA39" s="18"/>
      <c r="AB39" s="18"/>
      <c r="AC39" s="18"/>
      <c r="AD39" s="18" t="s">
        <v>1211</v>
      </c>
      <c r="AE39" s="18" t="s">
        <v>481</v>
      </c>
      <c r="AF39" s="18"/>
      <c r="AG39" s="85"/>
      <c r="AH39" s="18" t="s">
        <v>264</v>
      </c>
      <c r="AI39" s="85"/>
      <c r="AJ39" s="85"/>
      <c r="AK39" s="85"/>
      <c r="AL39" s="91">
        <f t="shared" si="4"/>
        <v>25555</v>
      </c>
      <c r="AM39" s="91">
        <f>146+7365</f>
        <v>7511</v>
      </c>
      <c r="AN39" s="92"/>
      <c r="AO39" s="91">
        <v>15702</v>
      </c>
      <c r="AP39" s="91">
        <v>2342</v>
      </c>
      <c r="AQ39" s="92"/>
      <c r="AR39" s="91">
        <f t="shared" si="5"/>
        <v>25555</v>
      </c>
      <c r="AS39" s="85"/>
      <c r="AT39" s="87">
        <v>172</v>
      </c>
      <c r="AU39" s="85"/>
      <c r="AV39" s="85"/>
      <c r="AW39" s="87">
        <v>11</v>
      </c>
      <c r="AX39" s="85"/>
      <c r="AY39" s="92"/>
      <c r="AZ39" s="85"/>
      <c r="BA39" s="85"/>
      <c r="BB39" s="91">
        <f>11432+250+56</f>
        <v>11738</v>
      </c>
      <c r="BC39" s="91">
        <f>105+148+81+207+21+27</f>
        <v>589</v>
      </c>
      <c r="BD39" s="101">
        <v>46</v>
      </c>
      <c r="BE39" s="102">
        <f>930/30</f>
        <v>31</v>
      </c>
      <c r="BF39" s="79">
        <v>1.5</v>
      </c>
      <c r="BG39" s="79">
        <v>13.5</v>
      </c>
      <c r="BH39" s="79"/>
      <c r="BI39" s="79">
        <f>427/30</f>
        <v>14.233333333333333</v>
      </c>
      <c r="BJ39" s="79">
        <v>7</v>
      </c>
      <c r="BK39" s="79">
        <v>10.5</v>
      </c>
      <c r="BL39" s="15"/>
    </row>
    <row r="40" spans="1:64" ht="36" customHeight="1" x14ac:dyDescent="0.3">
      <c r="A40" s="15">
        <v>38</v>
      </c>
      <c r="B40" s="16" t="s">
        <v>782</v>
      </c>
      <c r="C40" s="16" t="s">
        <v>783</v>
      </c>
      <c r="D40" s="15">
        <v>2018</v>
      </c>
      <c r="E40" s="17" t="s">
        <v>333</v>
      </c>
      <c r="F40" s="15" t="s">
        <v>508</v>
      </c>
      <c r="G40" s="19" t="s">
        <v>225</v>
      </c>
      <c r="H40" s="48">
        <v>63134000000</v>
      </c>
      <c r="I40" s="53">
        <v>436</v>
      </c>
      <c r="J40" s="48">
        <v>1737633027.5229356</v>
      </c>
      <c r="K40" s="18" t="s">
        <v>241</v>
      </c>
      <c r="L40" s="15" t="s">
        <v>93</v>
      </c>
      <c r="M40" s="15" t="s">
        <v>106</v>
      </c>
      <c r="N40" s="15" t="s">
        <v>199</v>
      </c>
      <c r="O40" s="15" t="s">
        <v>42</v>
      </c>
      <c r="P40" s="15" t="s">
        <v>4</v>
      </c>
      <c r="Q40" s="70">
        <v>3003.1</v>
      </c>
      <c r="R40" s="70">
        <v>1403.21</v>
      </c>
      <c r="S40" s="81">
        <v>41706.29</v>
      </c>
      <c r="T40" s="48">
        <v>8</v>
      </c>
      <c r="U40" s="53">
        <v>20</v>
      </c>
      <c r="V40" s="15" t="s">
        <v>18</v>
      </c>
      <c r="W40" s="18" t="s">
        <v>18</v>
      </c>
      <c r="X40" s="18" t="s">
        <v>64</v>
      </c>
      <c r="Y40" s="18" t="s">
        <v>62</v>
      </c>
      <c r="Z40" s="18" t="s">
        <v>1074</v>
      </c>
      <c r="AA40" s="18"/>
      <c r="AB40" s="18" t="s">
        <v>1056</v>
      </c>
      <c r="AC40" s="18"/>
      <c r="AD40" s="18" t="s">
        <v>265</v>
      </c>
      <c r="AE40" s="18"/>
      <c r="AF40" s="18"/>
      <c r="AG40" s="85"/>
      <c r="AH40" s="18" t="s">
        <v>264</v>
      </c>
      <c r="AI40" s="85"/>
      <c r="AJ40" s="85"/>
      <c r="AK40" s="85"/>
      <c r="AL40" s="91">
        <f t="shared" si="4"/>
        <v>84189</v>
      </c>
      <c r="AM40" s="91">
        <f>223+20008</f>
        <v>20231</v>
      </c>
      <c r="AN40" s="92"/>
      <c r="AO40" s="91">
        <v>6638</v>
      </c>
      <c r="AP40" s="91">
        <f>41568+13109</f>
        <v>54677</v>
      </c>
      <c r="AQ40" s="91">
        <v>2643</v>
      </c>
      <c r="AR40" s="91">
        <f t="shared" si="5"/>
        <v>84189</v>
      </c>
      <c r="AS40" s="85"/>
      <c r="AT40" s="87">
        <v>275</v>
      </c>
      <c r="AU40" s="85"/>
      <c r="AV40" s="85"/>
      <c r="AW40" s="87">
        <v>24</v>
      </c>
      <c r="AX40" s="85"/>
      <c r="AY40" s="92"/>
      <c r="AZ40" s="85"/>
      <c r="BA40" s="85"/>
      <c r="BB40" s="91">
        <v>24471</v>
      </c>
      <c r="BC40" s="91">
        <f>33+285+758+258+936+250+1+3+58+1+9+1+2+12+509</f>
        <v>3116</v>
      </c>
      <c r="BD40" s="101">
        <v>32</v>
      </c>
      <c r="BE40" s="102">
        <v>32</v>
      </c>
      <c r="BF40" s="79">
        <v>6</v>
      </c>
      <c r="BG40" s="79">
        <v>20</v>
      </c>
      <c r="BH40" s="79"/>
      <c r="BI40" s="79">
        <v>20</v>
      </c>
      <c r="BJ40" s="79">
        <v>9</v>
      </c>
      <c r="BK40" s="79">
        <v>11</v>
      </c>
      <c r="BL40" s="15" t="s">
        <v>334</v>
      </c>
    </row>
    <row r="41" spans="1:64" ht="36" customHeight="1" x14ac:dyDescent="0.3">
      <c r="A41" s="15">
        <v>39</v>
      </c>
      <c r="B41" s="16" t="s">
        <v>784</v>
      </c>
      <c r="C41" s="16" t="s">
        <v>785</v>
      </c>
      <c r="D41" s="15">
        <v>2018</v>
      </c>
      <c r="E41" s="17" t="s">
        <v>509</v>
      </c>
      <c r="F41" s="15" t="s">
        <v>510</v>
      </c>
      <c r="G41" s="19" t="s">
        <v>225</v>
      </c>
      <c r="H41" s="48">
        <v>28695000000</v>
      </c>
      <c r="I41" s="53">
        <v>200</v>
      </c>
      <c r="J41" s="48">
        <v>1721700000</v>
      </c>
      <c r="K41" s="18" t="s">
        <v>241</v>
      </c>
      <c r="L41" s="15" t="s">
        <v>93</v>
      </c>
      <c r="M41" s="15" t="s">
        <v>106</v>
      </c>
      <c r="N41" s="15" t="s">
        <v>199</v>
      </c>
      <c r="O41" s="15" t="s">
        <v>42</v>
      </c>
      <c r="P41" s="15" t="s">
        <v>4</v>
      </c>
      <c r="Q41" s="70">
        <v>1398.2</v>
      </c>
      <c r="R41" s="70">
        <v>753.65</v>
      </c>
      <c r="S41" s="81">
        <v>18167.22</v>
      </c>
      <c r="T41" s="48">
        <v>7</v>
      </c>
      <c r="U41" s="53">
        <v>19</v>
      </c>
      <c r="V41" s="15" t="s">
        <v>18</v>
      </c>
      <c r="W41" s="18" t="s">
        <v>18</v>
      </c>
      <c r="X41" s="18" t="s">
        <v>64</v>
      </c>
      <c r="Y41" s="18" t="s">
        <v>62</v>
      </c>
      <c r="Z41" s="18" t="s">
        <v>1078</v>
      </c>
      <c r="AA41" s="18" t="s">
        <v>1053</v>
      </c>
      <c r="AB41" s="18" t="s">
        <v>1056</v>
      </c>
      <c r="AC41" s="18"/>
      <c r="AD41" s="18" t="s">
        <v>265</v>
      </c>
      <c r="AE41" s="18"/>
      <c r="AF41" s="18"/>
      <c r="AG41" s="85"/>
      <c r="AH41" s="18" t="s">
        <v>264</v>
      </c>
      <c r="AI41" s="85"/>
      <c r="AJ41" s="85"/>
      <c r="AK41" s="85"/>
      <c r="AL41" s="91">
        <f t="shared" si="4"/>
        <v>32587</v>
      </c>
      <c r="AM41" s="91">
        <v>156</v>
      </c>
      <c r="AN41" s="91">
        <v>6854</v>
      </c>
      <c r="AO41" s="91">
        <v>2181</v>
      </c>
      <c r="AP41" s="91">
        <v>23396</v>
      </c>
      <c r="AQ41" s="92"/>
      <c r="AR41" s="91">
        <f t="shared" si="5"/>
        <v>32587</v>
      </c>
      <c r="AS41" s="85"/>
      <c r="AT41" s="85"/>
      <c r="AU41" s="85"/>
      <c r="AV41" s="85"/>
      <c r="AW41" s="87">
        <v>16</v>
      </c>
      <c r="AX41" s="85"/>
      <c r="AY41" s="92"/>
      <c r="AZ41" s="85"/>
      <c r="BA41" s="85"/>
      <c r="BB41" s="91">
        <f>4053+7145</f>
        <v>11198</v>
      </c>
      <c r="BC41" s="91">
        <f>176+224+292+518+10</f>
        <v>1220</v>
      </c>
      <c r="BD41" s="101">
        <v>26</v>
      </c>
      <c r="BE41" s="102">
        <v>26</v>
      </c>
      <c r="BF41" s="79"/>
      <c r="BG41" s="79">
        <v>11</v>
      </c>
      <c r="BH41" s="79"/>
      <c r="BI41" s="79">
        <v>12</v>
      </c>
      <c r="BJ41" s="79">
        <v>6</v>
      </c>
      <c r="BK41" s="79">
        <v>10</v>
      </c>
      <c r="BL41" s="15"/>
    </row>
    <row r="42" spans="1:64" ht="36" customHeight="1" x14ac:dyDescent="0.3">
      <c r="A42" s="15">
        <v>40</v>
      </c>
      <c r="B42" s="16" t="s">
        <v>786</v>
      </c>
      <c r="C42" s="16" t="s">
        <v>787</v>
      </c>
      <c r="D42" s="15">
        <v>2018</v>
      </c>
      <c r="E42" s="17" t="s">
        <v>43</v>
      </c>
      <c r="F42" s="15" t="s">
        <v>511</v>
      </c>
      <c r="G42" s="19" t="s">
        <v>225</v>
      </c>
      <c r="H42" s="48">
        <v>25460000000</v>
      </c>
      <c r="I42" s="53">
        <v>217</v>
      </c>
      <c r="J42" s="48">
        <v>1407926267.281106</v>
      </c>
      <c r="K42" s="18" t="s">
        <v>241</v>
      </c>
      <c r="L42" s="15" t="s">
        <v>93</v>
      </c>
      <c r="M42" s="15" t="s">
        <v>106</v>
      </c>
      <c r="N42" s="15" t="s">
        <v>199</v>
      </c>
      <c r="O42" s="15" t="s">
        <v>42</v>
      </c>
      <c r="P42" s="15" t="s">
        <v>4</v>
      </c>
      <c r="Q42" s="70">
        <v>1717</v>
      </c>
      <c r="R42" s="70">
        <v>849.02</v>
      </c>
      <c r="S42" s="81">
        <v>8754.1200000000008</v>
      </c>
      <c r="T42" s="48">
        <v>4</v>
      </c>
      <c r="U42" s="53">
        <v>12</v>
      </c>
      <c r="V42" s="15" t="s">
        <v>18</v>
      </c>
      <c r="W42" s="18" t="s">
        <v>16</v>
      </c>
      <c r="X42" s="18" t="s">
        <v>64</v>
      </c>
      <c r="Y42" s="18" t="s">
        <v>62</v>
      </c>
      <c r="Z42" s="18" t="s">
        <v>1074</v>
      </c>
      <c r="AA42" s="18" t="s">
        <v>1053</v>
      </c>
      <c r="AB42" s="18" t="s">
        <v>1056</v>
      </c>
      <c r="AC42" s="18"/>
      <c r="AD42" s="18" t="s">
        <v>410</v>
      </c>
      <c r="AE42" s="18" t="s">
        <v>1089</v>
      </c>
      <c r="AF42" s="18"/>
      <c r="AG42" s="85"/>
      <c r="AH42" s="18" t="s">
        <v>264</v>
      </c>
      <c r="AI42" s="85"/>
      <c r="AJ42" s="85"/>
      <c r="AK42" s="85"/>
      <c r="AL42" s="91">
        <f t="shared" si="4"/>
        <v>20422</v>
      </c>
      <c r="AM42" s="92"/>
      <c r="AN42" s="91">
        <v>13914</v>
      </c>
      <c r="AO42" s="91">
        <v>6066</v>
      </c>
      <c r="AP42" s="91">
        <v>442</v>
      </c>
      <c r="AQ42" s="92"/>
      <c r="AR42" s="91">
        <f t="shared" si="5"/>
        <v>20422</v>
      </c>
      <c r="AS42" s="85"/>
      <c r="AT42" s="85"/>
      <c r="AU42" s="85"/>
      <c r="AV42" s="85"/>
      <c r="AW42" s="87">
        <v>35</v>
      </c>
      <c r="AX42" s="85"/>
      <c r="AY42" s="92"/>
      <c r="AZ42" s="85"/>
      <c r="BA42" s="85"/>
      <c r="BB42" s="91">
        <f>9596+6601</f>
        <v>16197</v>
      </c>
      <c r="BC42" s="91">
        <f>33+99+301+223+12</f>
        <v>668</v>
      </c>
      <c r="BD42" s="101">
        <v>24</v>
      </c>
      <c r="BE42" s="102">
        <f>718/30</f>
        <v>23.933333333333334</v>
      </c>
      <c r="BF42" s="79">
        <f>87/30</f>
        <v>2.9</v>
      </c>
      <c r="BG42" s="79">
        <f>101/30</f>
        <v>3.3666666666666667</v>
      </c>
      <c r="BH42" s="79"/>
      <c r="BI42" s="79">
        <f>397/30</f>
        <v>13.233333333333333</v>
      </c>
      <c r="BJ42" s="79">
        <f>231/30</f>
        <v>7.7</v>
      </c>
      <c r="BK42" s="79">
        <f>222/30</f>
        <v>7.4</v>
      </c>
      <c r="BL42" s="15" t="s">
        <v>334</v>
      </c>
    </row>
    <row r="43" spans="1:64" ht="36" customHeight="1" x14ac:dyDescent="0.3">
      <c r="A43" s="15">
        <v>41</v>
      </c>
      <c r="B43" s="16" t="s">
        <v>788</v>
      </c>
      <c r="C43" s="16" t="s">
        <v>789</v>
      </c>
      <c r="D43" s="15">
        <v>2018</v>
      </c>
      <c r="E43" s="17" t="s">
        <v>335</v>
      </c>
      <c r="F43" s="15" t="s">
        <v>512</v>
      </c>
      <c r="G43" s="19" t="s">
        <v>225</v>
      </c>
      <c r="H43" s="48">
        <v>27164100000</v>
      </c>
      <c r="I43" s="53">
        <v>88.5</v>
      </c>
      <c r="J43" s="48">
        <v>3683267796.6101694</v>
      </c>
      <c r="K43" s="18" t="s">
        <v>241</v>
      </c>
      <c r="L43" s="15" t="s">
        <v>120</v>
      </c>
      <c r="M43" s="15" t="s">
        <v>121</v>
      </c>
      <c r="N43" s="15" t="s">
        <v>90</v>
      </c>
      <c r="O43" s="15" t="s">
        <v>42</v>
      </c>
      <c r="P43" s="15" t="s">
        <v>6</v>
      </c>
      <c r="Q43" s="70">
        <v>90122</v>
      </c>
      <c r="R43" s="70">
        <v>16690.36</v>
      </c>
      <c r="S43" s="81">
        <v>84870.96</v>
      </c>
      <c r="T43" s="48">
        <v>0</v>
      </c>
      <c r="U43" s="53">
        <v>7</v>
      </c>
      <c r="V43" s="15"/>
      <c r="W43" s="18" t="s">
        <v>16</v>
      </c>
      <c r="X43" s="18" t="s">
        <v>9</v>
      </c>
      <c r="Y43" s="18" t="s">
        <v>61</v>
      </c>
      <c r="Z43" s="18"/>
      <c r="AA43" s="18"/>
      <c r="AB43" s="18" t="s">
        <v>33</v>
      </c>
      <c r="AC43" s="18"/>
      <c r="AD43" s="18" t="s">
        <v>360</v>
      </c>
      <c r="AE43" s="18" t="s">
        <v>265</v>
      </c>
      <c r="AF43" s="18"/>
      <c r="AG43" s="85"/>
      <c r="AH43" s="18" t="s">
        <v>285</v>
      </c>
      <c r="AI43" s="85"/>
      <c r="AJ43" s="85"/>
      <c r="AK43" s="85"/>
      <c r="AL43" s="91">
        <f t="shared" si="4"/>
        <v>5728</v>
      </c>
      <c r="AM43" s="91">
        <v>5728</v>
      </c>
      <c r="AN43" s="92"/>
      <c r="AO43" s="92"/>
      <c r="AP43" s="92"/>
      <c r="AQ43" s="92"/>
      <c r="AR43" s="91">
        <f t="shared" si="5"/>
        <v>5728</v>
      </c>
      <c r="AS43" s="85"/>
      <c r="AT43" s="85"/>
      <c r="AU43" s="85"/>
      <c r="AV43" s="85"/>
      <c r="AW43" s="85"/>
      <c r="AX43" s="85"/>
      <c r="AY43" s="91">
        <v>278</v>
      </c>
      <c r="AZ43" s="85"/>
      <c r="BA43" s="85"/>
      <c r="BB43" s="91">
        <v>10827</v>
      </c>
      <c r="BC43" s="92"/>
      <c r="BD43" s="101">
        <v>9</v>
      </c>
      <c r="BE43" s="102">
        <v>10</v>
      </c>
      <c r="BF43" s="79"/>
      <c r="BG43" s="79">
        <v>1.5</v>
      </c>
      <c r="BH43" s="79"/>
      <c r="BI43" s="79">
        <v>4</v>
      </c>
      <c r="BJ43" s="79">
        <v>4.5</v>
      </c>
      <c r="BK43" s="79">
        <v>4.5</v>
      </c>
      <c r="BL43" s="15"/>
    </row>
    <row r="44" spans="1:64" ht="36" customHeight="1" x14ac:dyDescent="0.3">
      <c r="A44" s="15">
        <v>42</v>
      </c>
      <c r="B44" s="16" t="s">
        <v>790</v>
      </c>
      <c r="C44" s="16" t="s">
        <v>791</v>
      </c>
      <c r="D44" s="15">
        <v>2018</v>
      </c>
      <c r="E44" s="17" t="s">
        <v>336</v>
      </c>
      <c r="F44" s="15" t="s">
        <v>513</v>
      </c>
      <c r="G44" s="19" t="s">
        <v>225</v>
      </c>
      <c r="H44" s="48">
        <v>53101000000</v>
      </c>
      <c r="I44" s="53">
        <v>199</v>
      </c>
      <c r="J44" s="48">
        <v>3202070351.7587938</v>
      </c>
      <c r="K44" s="18" t="s">
        <v>241</v>
      </c>
      <c r="L44" s="15" t="s">
        <v>93</v>
      </c>
      <c r="M44" s="15" t="s">
        <v>107</v>
      </c>
      <c r="N44" s="15" t="s">
        <v>199</v>
      </c>
      <c r="O44" s="15" t="s">
        <v>42</v>
      </c>
      <c r="P44" s="15" t="s">
        <v>6</v>
      </c>
      <c r="Q44" s="70">
        <v>10528</v>
      </c>
      <c r="R44" s="70">
        <v>3628.38</v>
      </c>
      <c r="S44" s="81">
        <v>29953.54</v>
      </c>
      <c r="T44" s="48">
        <v>2</v>
      </c>
      <c r="U44" s="53">
        <v>8</v>
      </c>
      <c r="V44" s="15" t="s">
        <v>16</v>
      </c>
      <c r="W44" s="18" t="s">
        <v>16</v>
      </c>
      <c r="X44" s="18" t="s">
        <v>9</v>
      </c>
      <c r="Y44" s="18" t="s">
        <v>61</v>
      </c>
      <c r="Z44" s="18"/>
      <c r="AA44" s="18"/>
      <c r="AB44" s="18" t="s">
        <v>74</v>
      </c>
      <c r="AC44" s="18"/>
      <c r="AD44" s="18" t="s">
        <v>1088</v>
      </c>
      <c r="AE44" s="18" t="s">
        <v>1213</v>
      </c>
      <c r="AF44" s="18"/>
      <c r="AG44" s="85"/>
      <c r="AH44" s="18" t="s">
        <v>264</v>
      </c>
      <c r="AI44" s="85"/>
      <c r="AJ44" s="85"/>
      <c r="AK44" s="85"/>
      <c r="AL44" s="91">
        <f t="shared" si="4"/>
        <v>63753</v>
      </c>
      <c r="AM44" s="91">
        <v>63753</v>
      </c>
      <c r="AN44" s="92"/>
      <c r="AO44" s="92"/>
      <c r="AP44" s="92"/>
      <c r="AQ44" s="92"/>
      <c r="AR44" s="91">
        <f t="shared" si="5"/>
        <v>63753</v>
      </c>
      <c r="AS44" s="85"/>
      <c r="AT44" s="85"/>
      <c r="AU44" s="85"/>
      <c r="AV44" s="85"/>
      <c r="AW44" s="85"/>
      <c r="AX44" s="85"/>
      <c r="AY44" s="91">
        <v>500</v>
      </c>
      <c r="AZ44" s="85"/>
      <c r="BA44" s="85"/>
      <c r="BB44" s="91">
        <f>10547+4080+4962</f>
        <v>19589</v>
      </c>
      <c r="BC44" s="91">
        <f>50+34</f>
        <v>84</v>
      </c>
      <c r="BD44" s="101">
        <v>19</v>
      </c>
      <c r="BE44" s="102">
        <v>19</v>
      </c>
      <c r="BF44" s="79"/>
      <c r="BG44" s="79">
        <v>5</v>
      </c>
      <c r="BH44" s="79"/>
      <c r="BI44" s="79">
        <v>12</v>
      </c>
      <c r="BJ44" s="79">
        <v>4</v>
      </c>
      <c r="BK44" s="79">
        <v>8</v>
      </c>
      <c r="BL44" s="15"/>
    </row>
    <row r="45" spans="1:64" ht="36" customHeight="1" x14ac:dyDescent="0.3">
      <c r="A45" s="15">
        <v>43</v>
      </c>
      <c r="B45" s="16" t="s">
        <v>792</v>
      </c>
      <c r="C45" s="16" t="s">
        <v>793</v>
      </c>
      <c r="D45" s="15">
        <v>2018</v>
      </c>
      <c r="E45" s="17" t="s">
        <v>626</v>
      </c>
      <c r="F45" s="15" t="s">
        <v>514</v>
      </c>
      <c r="G45" s="19" t="s">
        <v>225</v>
      </c>
      <c r="H45" s="48">
        <f>24337000000+1803000000</f>
        <v>26140000000</v>
      </c>
      <c r="I45" s="53">
        <v>117</v>
      </c>
      <c r="J45" s="48">
        <v>2681025641.025641</v>
      </c>
      <c r="K45" s="18" t="s">
        <v>241</v>
      </c>
      <c r="L45" s="15" t="s">
        <v>123</v>
      </c>
      <c r="M45" s="15" t="s">
        <v>124</v>
      </c>
      <c r="N45" s="15" t="s">
        <v>90</v>
      </c>
      <c r="O45" s="15" t="s">
        <v>42</v>
      </c>
      <c r="P45" s="15" t="s">
        <v>7</v>
      </c>
      <c r="Q45" s="70">
        <v>19834.2</v>
      </c>
      <c r="R45" s="70">
        <v>10304.9</v>
      </c>
      <c r="S45" s="81">
        <v>22554.73</v>
      </c>
      <c r="T45" s="48">
        <v>1</v>
      </c>
      <c r="U45" s="53">
        <v>3</v>
      </c>
      <c r="V45" s="15" t="s">
        <v>24</v>
      </c>
      <c r="W45" s="18" t="s">
        <v>24</v>
      </c>
      <c r="X45" s="18" t="s">
        <v>9</v>
      </c>
      <c r="Y45" s="18" t="s">
        <v>62</v>
      </c>
      <c r="Z45" s="18"/>
      <c r="AA45" s="18"/>
      <c r="AB45" s="18" t="s">
        <v>1196</v>
      </c>
      <c r="AC45" s="18" t="s">
        <v>1063</v>
      </c>
      <c r="AD45" s="18" t="s">
        <v>1082</v>
      </c>
      <c r="AE45" s="18" t="s">
        <v>266</v>
      </c>
      <c r="AF45" s="18"/>
      <c r="AG45" s="85"/>
      <c r="AH45" s="18" t="s">
        <v>285</v>
      </c>
      <c r="AI45" s="85"/>
      <c r="AJ45" s="85"/>
      <c r="AK45" s="85"/>
      <c r="AL45" s="91">
        <f t="shared" si="4"/>
        <v>22788</v>
      </c>
      <c r="AM45" s="91">
        <f>1873+5743+1720</f>
        <v>9336</v>
      </c>
      <c r="AN45" s="92"/>
      <c r="AO45" s="92"/>
      <c r="AP45" s="91">
        <f>1712+10020+1720</f>
        <v>13452</v>
      </c>
      <c r="AQ45" s="92"/>
      <c r="AR45" s="91">
        <f t="shared" si="5"/>
        <v>22788</v>
      </c>
      <c r="AS45" s="85"/>
      <c r="AT45" s="85"/>
      <c r="AU45" s="85"/>
      <c r="AV45" s="85"/>
      <c r="AW45" s="85"/>
      <c r="AX45" s="85"/>
      <c r="AY45" s="92"/>
      <c r="AZ45" s="85"/>
      <c r="BA45" s="87">
        <v>3320</v>
      </c>
      <c r="BB45" s="91">
        <f>615+8932+11204+180+16</f>
        <v>20947</v>
      </c>
      <c r="BC45" s="91">
        <f>429+72+36+69+3</f>
        <v>609</v>
      </c>
      <c r="BD45" s="101">
        <v>14</v>
      </c>
      <c r="BE45" s="102">
        <f>426/30</f>
        <v>14.2</v>
      </c>
      <c r="BF45" s="79"/>
      <c r="BG45" s="79">
        <v>3</v>
      </c>
      <c r="BH45" s="79">
        <f>107/30</f>
        <v>3.5666666666666669</v>
      </c>
      <c r="BI45" s="79">
        <f>199/30</f>
        <v>6.6333333333333337</v>
      </c>
      <c r="BJ45" s="79">
        <f>114/30</f>
        <v>3.8</v>
      </c>
      <c r="BK45" s="79">
        <v>3</v>
      </c>
      <c r="BL45" s="15"/>
    </row>
    <row r="46" spans="1:64" ht="36" customHeight="1" x14ac:dyDescent="0.3">
      <c r="A46" s="15">
        <v>44</v>
      </c>
      <c r="B46" s="16" t="s">
        <v>794</v>
      </c>
      <c r="C46" s="16" t="s">
        <v>795</v>
      </c>
      <c r="D46" s="15">
        <v>2018</v>
      </c>
      <c r="E46" s="17" t="s">
        <v>515</v>
      </c>
      <c r="F46" s="15" t="s">
        <v>206</v>
      </c>
      <c r="G46" s="19" t="s">
        <v>225</v>
      </c>
      <c r="H46" s="48">
        <v>14982284545</v>
      </c>
      <c r="I46" s="53">
        <v>138</v>
      </c>
      <c r="J46" s="48">
        <v>1302807351.7391305</v>
      </c>
      <c r="K46" s="18" t="s">
        <v>241</v>
      </c>
      <c r="L46" s="15" t="s">
        <v>125</v>
      </c>
      <c r="M46" s="15" t="s">
        <v>126</v>
      </c>
      <c r="N46" s="15" t="s">
        <v>199</v>
      </c>
      <c r="O46" s="15" t="s">
        <v>59</v>
      </c>
      <c r="P46" s="15" t="s">
        <v>72</v>
      </c>
      <c r="Q46" s="70">
        <v>210109</v>
      </c>
      <c r="R46" s="70">
        <v>991.77</v>
      </c>
      <c r="S46" s="82">
        <v>6235.01</v>
      </c>
      <c r="T46" s="48">
        <v>0</v>
      </c>
      <c r="U46" s="53">
        <v>6</v>
      </c>
      <c r="V46" s="15"/>
      <c r="W46" s="18" t="s">
        <v>16</v>
      </c>
      <c r="X46" s="18"/>
      <c r="Y46" s="18" t="s">
        <v>61</v>
      </c>
      <c r="Z46" s="18"/>
      <c r="AA46" s="18"/>
      <c r="AB46" s="18" t="s">
        <v>66</v>
      </c>
      <c r="AC46" s="18"/>
      <c r="AD46" s="18" t="s">
        <v>267</v>
      </c>
      <c r="AE46" s="18" t="s">
        <v>265</v>
      </c>
      <c r="AF46" s="18"/>
      <c r="AG46" s="85"/>
      <c r="AH46" s="18" t="s">
        <v>285</v>
      </c>
      <c r="AI46" s="85"/>
      <c r="AJ46" s="85"/>
      <c r="AK46" s="85"/>
      <c r="AL46" s="91">
        <f t="shared" si="4"/>
        <v>7352</v>
      </c>
      <c r="AM46" s="91">
        <f>7186+166</f>
        <v>7352</v>
      </c>
      <c r="AN46" s="92"/>
      <c r="AO46" s="92"/>
      <c r="AP46" s="92"/>
      <c r="AQ46" s="92"/>
      <c r="AR46" s="91">
        <f t="shared" si="5"/>
        <v>7352</v>
      </c>
      <c r="AS46" s="85"/>
      <c r="AT46" s="85"/>
      <c r="AU46" s="85"/>
      <c r="AV46" s="85"/>
      <c r="AW46" s="85"/>
      <c r="AX46" s="85"/>
      <c r="AY46" s="91">
        <v>42</v>
      </c>
      <c r="AZ46" s="87">
        <v>128</v>
      </c>
      <c r="BA46" s="85"/>
      <c r="BB46" s="91">
        <f>443+3931+290+53</f>
        <v>4717</v>
      </c>
      <c r="BC46" s="92"/>
      <c r="BD46" s="101">
        <v>18</v>
      </c>
      <c r="BE46" s="102">
        <v>18</v>
      </c>
      <c r="BF46" s="79">
        <v>3</v>
      </c>
      <c r="BG46" s="79">
        <v>3</v>
      </c>
      <c r="BH46" s="79"/>
      <c r="BI46" s="79">
        <f>100/30+6</f>
        <v>9.3333333333333339</v>
      </c>
      <c r="BJ46" s="79">
        <v>4</v>
      </c>
      <c r="BK46" s="79">
        <v>11</v>
      </c>
      <c r="BL46" s="15" t="s">
        <v>67</v>
      </c>
    </row>
    <row r="47" spans="1:64" ht="36" customHeight="1" x14ac:dyDescent="0.3">
      <c r="A47" s="15">
        <v>45</v>
      </c>
      <c r="B47" s="16" t="s">
        <v>796</v>
      </c>
      <c r="C47" s="16" t="s">
        <v>797</v>
      </c>
      <c r="D47" s="15">
        <v>2018</v>
      </c>
      <c r="E47" s="17" t="s">
        <v>340</v>
      </c>
      <c r="F47" s="15" t="s">
        <v>337</v>
      </c>
      <c r="G47" s="19" t="s">
        <v>225</v>
      </c>
      <c r="H47" s="48">
        <v>28380000000</v>
      </c>
      <c r="I47" s="53">
        <v>226</v>
      </c>
      <c r="J47" s="48">
        <v>1506902654.8672566</v>
      </c>
      <c r="K47" s="18" t="s">
        <v>241</v>
      </c>
      <c r="L47" s="15" t="s">
        <v>127</v>
      </c>
      <c r="M47" s="15" t="s">
        <v>128</v>
      </c>
      <c r="N47" s="15" t="s">
        <v>90</v>
      </c>
      <c r="O47" s="15" t="s">
        <v>42</v>
      </c>
      <c r="P47" s="18" t="s">
        <v>487</v>
      </c>
      <c r="Q47" s="70">
        <v>97335.4</v>
      </c>
      <c r="R47" s="70">
        <v>4827.8</v>
      </c>
      <c r="S47" s="82">
        <v>15396.55</v>
      </c>
      <c r="T47" s="48">
        <v>2</v>
      </c>
      <c r="U47" s="53">
        <v>4</v>
      </c>
      <c r="V47" s="15" t="s">
        <v>16</v>
      </c>
      <c r="W47" s="18" t="s">
        <v>16</v>
      </c>
      <c r="X47" s="18" t="s">
        <v>9</v>
      </c>
      <c r="Y47" s="18" t="s">
        <v>62</v>
      </c>
      <c r="Z47" s="18"/>
      <c r="AA47" s="18"/>
      <c r="AB47" s="18"/>
      <c r="AC47" s="18"/>
      <c r="AD47" s="18" t="s">
        <v>1209</v>
      </c>
      <c r="AE47" s="18" t="s">
        <v>338</v>
      </c>
      <c r="AF47" s="18"/>
      <c r="AG47" s="85"/>
      <c r="AH47" s="18" t="s">
        <v>285</v>
      </c>
      <c r="AI47" s="85"/>
      <c r="AJ47" s="85"/>
      <c r="AK47" s="85"/>
      <c r="AL47" s="91">
        <f t="shared" si="4"/>
        <v>105797</v>
      </c>
      <c r="AM47" s="91">
        <f>28720+38550+185+990+149</f>
        <v>68594</v>
      </c>
      <c r="AN47" s="92"/>
      <c r="AO47" s="91">
        <f>172+14977+189+129</f>
        <v>15467</v>
      </c>
      <c r="AP47" s="91">
        <f>21435+84</f>
        <v>21519</v>
      </c>
      <c r="AQ47" s="91">
        <f>196+21</f>
        <v>217</v>
      </c>
      <c r="AR47" s="91">
        <f t="shared" si="5"/>
        <v>105797</v>
      </c>
      <c r="AS47" s="85"/>
      <c r="AT47" s="85"/>
      <c r="AU47" s="85"/>
      <c r="AV47" s="85"/>
      <c r="AW47" s="85"/>
      <c r="AX47" s="85"/>
      <c r="AY47" s="92"/>
      <c r="AZ47" s="85"/>
      <c r="BA47" s="85"/>
      <c r="BB47" s="91">
        <f>6585+1514+5230+209+551+62+145+108+167+167+167+123+101+118+119</f>
        <v>15366</v>
      </c>
      <c r="BC47" s="91">
        <f>42</f>
        <v>42</v>
      </c>
      <c r="BD47" s="101">
        <v>27</v>
      </c>
      <c r="BE47" s="102">
        <v>27</v>
      </c>
      <c r="BF47" s="79"/>
      <c r="BG47" s="79">
        <v>14</v>
      </c>
      <c r="BH47" s="79"/>
      <c r="BI47" s="79">
        <v>15</v>
      </c>
      <c r="BJ47" s="79">
        <v>11</v>
      </c>
      <c r="BK47" s="79">
        <v>8</v>
      </c>
      <c r="BL47" s="15"/>
    </row>
    <row r="48" spans="1:64" ht="36" customHeight="1" x14ac:dyDescent="0.3">
      <c r="A48" s="15">
        <v>46</v>
      </c>
      <c r="B48" s="16" t="s">
        <v>798</v>
      </c>
      <c r="C48" s="16" t="s">
        <v>799</v>
      </c>
      <c r="D48" s="15">
        <v>2018</v>
      </c>
      <c r="E48" s="17" t="s">
        <v>469</v>
      </c>
      <c r="F48" s="15" t="s">
        <v>564</v>
      </c>
      <c r="G48" s="19" t="s">
        <v>225</v>
      </c>
      <c r="H48" s="48">
        <v>103010000000</v>
      </c>
      <c r="I48" s="53">
        <v>418</v>
      </c>
      <c r="J48" s="48">
        <v>2957224880.3827753</v>
      </c>
      <c r="K48" s="18" t="s">
        <v>243</v>
      </c>
      <c r="L48" s="15" t="s">
        <v>129</v>
      </c>
      <c r="M48" s="15" t="s">
        <v>130</v>
      </c>
      <c r="N48" s="15" t="s">
        <v>199</v>
      </c>
      <c r="O48" s="15" t="s">
        <v>42</v>
      </c>
      <c r="P48" s="15" t="s">
        <v>57</v>
      </c>
      <c r="Q48" s="70">
        <v>16856.2</v>
      </c>
      <c r="R48" s="70">
        <v>8425.7999999999993</v>
      </c>
      <c r="S48" s="82">
        <v>83478</v>
      </c>
      <c r="T48" s="48">
        <v>3</v>
      </c>
      <c r="U48" s="53">
        <v>11</v>
      </c>
      <c r="V48" s="15" t="s">
        <v>16</v>
      </c>
      <c r="W48" s="18" t="s">
        <v>16</v>
      </c>
      <c r="X48" s="18" t="s">
        <v>9</v>
      </c>
      <c r="Y48" s="18" t="s">
        <v>61</v>
      </c>
      <c r="Z48" s="18"/>
      <c r="AA48" s="18"/>
      <c r="AB48" s="18" t="s">
        <v>74</v>
      </c>
      <c r="AC48" s="18"/>
      <c r="AD48" s="18"/>
      <c r="AE48" s="18"/>
      <c r="AF48" s="18"/>
      <c r="AG48" s="85"/>
      <c r="AH48" s="18" t="s">
        <v>264</v>
      </c>
      <c r="AI48" s="85"/>
      <c r="AJ48" s="85"/>
      <c r="AK48" s="85"/>
      <c r="AL48" s="91">
        <f t="shared" si="4"/>
        <v>287723</v>
      </c>
      <c r="AM48" s="91">
        <f>852+286871</f>
        <v>287723</v>
      </c>
      <c r="AN48" s="92"/>
      <c r="AO48" s="92"/>
      <c r="AP48" s="92"/>
      <c r="AQ48" s="92"/>
      <c r="AR48" s="91">
        <f t="shared" si="5"/>
        <v>287723</v>
      </c>
      <c r="AS48" s="85"/>
      <c r="AT48" s="85"/>
      <c r="AU48" s="85"/>
      <c r="AV48" s="85"/>
      <c r="AW48" s="85"/>
      <c r="AX48" s="85"/>
      <c r="AY48" s="91">
        <v>1615</v>
      </c>
      <c r="AZ48" s="85"/>
      <c r="BA48" s="85"/>
      <c r="BB48" s="91">
        <f>36752+18274</f>
        <v>55026</v>
      </c>
      <c r="BC48" s="91">
        <f>62+32+87+18+206+6+33+13</f>
        <v>457</v>
      </c>
      <c r="BD48" s="101">
        <v>27</v>
      </c>
      <c r="BE48" s="102">
        <v>27</v>
      </c>
      <c r="BF48" s="79"/>
      <c r="BG48" s="79">
        <f>219/30</f>
        <v>7.3</v>
      </c>
      <c r="BH48" s="79"/>
      <c r="BI48" s="79">
        <f>344/30</f>
        <v>11.466666666666667</v>
      </c>
      <c r="BJ48" s="79">
        <f>90/3</f>
        <v>30</v>
      </c>
      <c r="BK48" s="79">
        <f>180/30</f>
        <v>6</v>
      </c>
      <c r="BL48" s="15"/>
    </row>
    <row r="49" spans="1:64" ht="36" customHeight="1" x14ac:dyDescent="0.3">
      <c r="A49" s="15">
        <v>47</v>
      </c>
      <c r="B49" s="16" t="s">
        <v>800</v>
      </c>
      <c r="C49" s="16" t="s">
        <v>801</v>
      </c>
      <c r="D49" s="15">
        <v>2018</v>
      </c>
      <c r="E49" s="17" t="s">
        <v>73</v>
      </c>
      <c r="F49" s="15" t="s">
        <v>207</v>
      </c>
      <c r="G49" s="19" t="s">
        <v>225</v>
      </c>
      <c r="H49" s="48">
        <v>66700081819</v>
      </c>
      <c r="I49" s="53">
        <v>431</v>
      </c>
      <c r="J49" s="48">
        <v>1857078844.1484919</v>
      </c>
      <c r="K49" s="18" t="s">
        <v>241</v>
      </c>
      <c r="L49" s="15" t="s">
        <v>93</v>
      </c>
      <c r="M49" s="15" t="s">
        <v>131</v>
      </c>
      <c r="N49" s="15" t="s">
        <v>199</v>
      </c>
      <c r="O49" s="15" t="s">
        <v>5</v>
      </c>
      <c r="P49" s="15" t="s">
        <v>72</v>
      </c>
      <c r="Q49" s="70">
        <v>16921.900000000001</v>
      </c>
      <c r="R49" s="70">
        <v>8494.15</v>
      </c>
      <c r="S49" s="82">
        <v>74708.12</v>
      </c>
      <c r="T49" s="48">
        <v>4</v>
      </c>
      <c r="U49" s="53">
        <v>10</v>
      </c>
      <c r="V49" s="15" t="s">
        <v>16</v>
      </c>
      <c r="W49" s="18" t="s">
        <v>16</v>
      </c>
      <c r="X49" s="18" t="s">
        <v>9</v>
      </c>
      <c r="Y49" s="18" t="s">
        <v>62</v>
      </c>
      <c r="Z49" s="18"/>
      <c r="AA49" s="18"/>
      <c r="AB49" s="18" t="s">
        <v>1056</v>
      </c>
      <c r="AC49" s="18"/>
      <c r="AD49" s="18" t="s">
        <v>267</v>
      </c>
      <c r="AE49" s="18" t="s">
        <v>265</v>
      </c>
      <c r="AF49" s="18"/>
      <c r="AG49" s="85"/>
      <c r="AH49" s="18" t="s">
        <v>264</v>
      </c>
      <c r="AI49" s="85"/>
      <c r="AJ49" s="85"/>
      <c r="AK49" s="85"/>
      <c r="AL49" s="91">
        <f t="shared" si="4"/>
        <v>56662</v>
      </c>
      <c r="AM49" s="91">
        <f>6207+701+21927+208</f>
        <v>29043</v>
      </c>
      <c r="AN49" s="92"/>
      <c r="AO49" s="91">
        <f>2501+1271</f>
        <v>3772</v>
      </c>
      <c r="AP49" s="91">
        <f>6439+6439+9186+1783</f>
        <v>23847</v>
      </c>
      <c r="AQ49" s="92"/>
      <c r="AR49" s="91">
        <f t="shared" si="5"/>
        <v>56662</v>
      </c>
      <c r="AS49" s="85"/>
      <c r="AT49" s="93" t="s">
        <v>1136</v>
      </c>
      <c r="AU49" s="85"/>
      <c r="AV49" s="87">
        <v>103</v>
      </c>
      <c r="AW49" s="85"/>
      <c r="AX49" s="85"/>
      <c r="AY49" s="92"/>
      <c r="AZ49" s="87">
        <v>327</v>
      </c>
      <c r="BA49" s="85"/>
      <c r="BB49" s="91">
        <f>20+9824+119+195</f>
        <v>10158</v>
      </c>
      <c r="BC49" s="91">
        <f>785+2+1+6+36+14+15+3+19+12+6</f>
        <v>899</v>
      </c>
      <c r="BD49" s="101">
        <v>45</v>
      </c>
      <c r="BE49" s="102">
        <v>40</v>
      </c>
      <c r="BF49" s="79"/>
      <c r="BG49" s="79"/>
      <c r="BH49" s="79"/>
      <c r="BI49" s="79"/>
      <c r="BJ49" s="79"/>
      <c r="BK49" s="79"/>
      <c r="BL49" s="15" t="s">
        <v>342</v>
      </c>
    </row>
    <row r="50" spans="1:64" ht="36" customHeight="1" x14ac:dyDescent="0.3">
      <c r="A50" s="15">
        <v>48</v>
      </c>
      <c r="B50" s="16" t="s">
        <v>802</v>
      </c>
      <c r="C50" s="16" t="s">
        <v>803</v>
      </c>
      <c r="D50" s="15">
        <v>2019</v>
      </c>
      <c r="E50" s="17" t="s">
        <v>516</v>
      </c>
      <c r="F50" s="15" t="s">
        <v>517</v>
      </c>
      <c r="G50" s="19" t="s">
        <v>225</v>
      </c>
      <c r="H50" s="48">
        <v>19130000000</v>
      </c>
      <c r="I50" s="53">
        <v>155</v>
      </c>
      <c r="J50" s="48">
        <v>1481032258.0645161</v>
      </c>
      <c r="K50" s="18" t="s">
        <v>241</v>
      </c>
      <c r="L50" s="15" t="s">
        <v>93</v>
      </c>
      <c r="M50" s="15" t="s">
        <v>87</v>
      </c>
      <c r="N50" s="15" t="s">
        <v>199</v>
      </c>
      <c r="O50" s="15" t="s">
        <v>42</v>
      </c>
      <c r="P50" s="15" t="s">
        <v>4</v>
      </c>
      <c r="Q50" s="70">
        <v>851.2</v>
      </c>
      <c r="R50" s="70">
        <v>509.79</v>
      </c>
      <c r="S50" s="81">
        <v>8841.6299999999992</v>
      </c>
      <c r="T50" s="48">
        <v>3</v>
      </c>
      <c r="U50" s="53">
        <v>15</v>
      </c>
      <c r="V50" s="15" t="s">
        <v>16</v>
      </c>
      <c r="W50" s="18" t="s">
        <v>16</v>
      </c>
      <c r="X50" s="18" t="s">
        <v>343</v>
      </c>
      <c r="Y50" s="18" t="s">
        <v>62</v>
      </c>
      <c r="Z50" s="18"/>
      <c r="AA50" s="18"/>
      <c r="AB50" s="18" t="s">
        <v>1056</v>
      </c>
      <c r="AC50" s="18"/>
      <c r="AD50" s="18" t="s">
        <v>1211</v>
      </c>
      <c r="AE50" s="18" t="s">
        <v>265</v>
      </c>
      <c r="AF50" s="18"/>
      <c r="AG50" s="85"/>
      <c r="AH50" s="18" t="s">
        <v>264</v>
      </c>
      <c r="AI50" s="85"/>
      <c r="AJ50" s="85"/>
      <c r="AK50" s="85"/>
      <c r="AL50" s="91">
        <f t="shared" si="4"/>
        <v>12693</v>
      </c>
      <c r="AM50" s="91">
        <v>9483</v>
      </c>
      <c r="AN50" s="92"/>
      <c r="AO50" s="91">
        <v>3210</v>
      </c>
      <c r="AP50" s="92"/>
      <c r="AQ50" s="92"/>
      <c r="AR50" s="91">
        <f t="shared" si="5"/>
        <v>12693</v>
      </c>
      <c r="AS50" s="85"/>
      <c r="AT50" s="87">
        <v>196</v>
      </c>
      <c r="AU50" s="85"/>
      <c r="AV50" s="85"/>
      <c r="AW50" s="85"/>
      <c r="AX50" s="85"/>
      <c r="AY50" s="92"/>
      <c r="AZ50" s="85"/>
      <c r="BA50" s="85"/>
      <c r="BB50" s="91">
        <f>3388+3046</f>
        <v>6434</v>
      </c>
      <c r="BC50" s="92"/>
      <c r="BD50" s="101">
        <v>22</v>
      </c>
      <c r="BE50" s="102">
        <f>638/30</f>
        <v>21.266666666666666</v>
      </c>
      <c r="BF50" s="79">
        <v>2</v>
      </c>
      <c r="BG50" s="79">
        <v>5</v>
      </c>
      <c r="BH50" s="79"/>
      <c r="BI50" s="79">
        <v>8.1999999999999993</v>
      </c>
      <c r="BJ50" s="79">
        <v>5</v>
      </c>
      <c r="BK50" s="79">
        <v>6</v>
      </c>
      <c r="BL50" s="15" t="s">
        <v>44</v>
      </c>
    </row>
    <row r="51" spans="1:64" ht="36" customHeight="1" x14ac:dyDescent="0.3">
      <c r="A51" s="15">
        <v>49</v>
      </c>
      <c r="B51" s="16" t="s">
        <v>804</v>
      </c>
      <c r="C51" s="16" t="s">
        <v>805</v>
      </c>
      <c r="D51" s="15">
        <v>2019</v>
      </c>
      <c r="E51" s="17" t="s">
        <v>518</v>
      </c>
      <c r="F51" s="15" t="s">
        <v>519</v>
      </c>
      <c r="G51" s="19" t="s">
        <v>225</v>
      </c>
      <c r="H51" s="48">
        <v>60950000000</v>
      </c>
      <c r="I51" s="53">
        <v>375</v>
      </c>
      <c r="J51" s="48">
        <v>1950400000</v>
      </c>
      <c r="K51" s="18" t="s">
        <v>243</v>
      </c>
      <c r="L51" s="15" t="s">
        <v>93</v>
      </c>
      <c r="M51" s="15" t="s">
        <v>102</v>
      </c>
      <c r="N51" s="15" t="s">
        <v>199</v>
      </c>
      <c r="O51" s="15" t="s">
        <v>42</v>
      </c>
      <c r="P51" s="15" t="s">
        <v>693</v>
      </c>
      <c r="Q51" s="70">
        <v>2589.6</v>
      </c>
      <c r="R51" s="70">
        <v>1496.04</v>
      </c>
      <c r="S51" s="81">
        <v>26298.89</v>
      </c>
      <c r="T51" s="48">
        <v>3</v>
      </c>
      <c r="U51" s="53">
        <v>19</v>
      </c>
      <c r="V51" s="15" t="s">
        <v>18</v>
      </c>
      <c r="W51" s="18" t="s">
        <v>18</v>
      </c>
      <c r="X51" s="18" t="s">
        <v>64</v>
      </c>
      <c r="Y51" s="18" t="s">
        <v>62</v>
      </c>
      <c r="Z51" s="18" t="s">
        <v>1075</v>
      </c>
      <c r="AA51" s="18"/>
      <c r="AB51" s="18" t="s">
        <v>20</v>
      </c>
      <c r="AC51" s="18" t="s">
        <v>1196</v>
      </c>
      <c r="AD51" s="18" t="s">
        <v>267</v>
      </c>
      <c r="AE51" s="18" t="s">
        <v>265</v>
      </c>
      <c r="AF51" s="18"/>
      <c r="AG51" s="85"/>
      <c r="AH51" s="18" t="s">
        <v>264</v>
      </c>
      <c r="AI51" s="85"/>
      <c r="AJ51" s="85"/>
      <c r="AK51" s="85"/>
      <c r="AL51" s="91">
        <f t="shared" si="4"/>
        <v>42155</v>
      </c>
      <c r="AM51" s="91">
        <v>31075</v>
      </c>
      <c r="AN51" s="92"/>
      <c r="AO51" s="91">
        <v>4781</v>
      </c>
      <c r="AP51" s="91">
        <v>6299</v>
      </c>
      <c r="AQ51" s="92"/>
      <c r="AR51" s="91">
        <f t="shared" si="5"/>
        <v>42155</v>
      </c>
      <c r="AS51" s="85"/>
      <c r="AT51" s="87">
        <v>276</v>
      </c>
      <c r="AU51" s="85"/>
      <c r="AV51" s="85"/>
      <c r="AW51" s="87">
        <v>35</v>
      </c>
      <c r="AX51" s="85"/>
      <c r="AY51" s="92"/>
      <c r="AZ51" s="85"/>
      <c r="BA51" s="85"/>
      <c r="BB51" s="91">
        <f>7930+5394+4225</f>
        <v>17549</v>
      </c>
      <c r="BC51" s="91">
        <f>200+496+811+95+696+21+8+68</f>
        <v>2395</v>
      </c>
      <c r="BD51" s="101">
        <v>30</v>
      </c>
      <c r="BE51" s="102">
        <f>918/30</f>
        <v>30.6</v>
      </c>
      <c r="BF51" s="79">
        <v>3</v>
      </c>
      <c r="BG51" s="79">
        <v>10.5</v>
      </c>
      <c r="BH51" s="79"/>
      <c r="BI51" s="79">
        <v>14</v>
      </c>
      <c r="BJ51" s="79">
        <v>11</v>
      </c>
      <c r="BK51" s="79">
        <v>12</v>
      </c>
      <c r="BL51" s="15" t="s">
        <v>44</v>
      </c>
    </row>
    <row r="52" spans="1:64" ht="36" customHeight="1" x14ac:dyDescent="0.3">
      <c r="A52" s="15">
        <v>50</v>
      </c>
      <c r="B52" s="16" t="s">
        <v>806</v>
      </c>
      <c r="C52" s="16" t="s">
        <v>807</v>
      </c>
      <c r="D52" s="15">
        <v>2019</v>
      </c>
      <c r="E52" s="17" t="s">
        <v>48</v>
      </c>
      <c r="F52" s="15" t="s">
        <v>344</v>
      </c>
      <c r="G52" s="19" t="s">
        <v>225</v>
      </c>
      <c r="H52" s="48">
        <v>48230000000</v>
      </c>
      <c r="I52" s="53">
        <v>249</v>
      </c>
      <c r="J52" s="48">
        <v>2324337349.3975906</v>
      </c>
      <c r="K52" s="18" t="s">
        <v>241</v>
      </c>
      <c r="L52" s="15" t="s">
        <v>132</v>
      </c>
      <c r="M52" s="15" t="s">
        <v>133</v>
      </c>
      <c r="N52" s="15" t="s">
        <v>90</v>
      </c>
      <c r="O52" s="15" t="s">
        <v>42</v>
      </c>
      <c r="P52" s="15" t="s">
        <v>14</v>
      </c>
      <c r="Q52" s="70">
        <v>63391.8</v>
      </c>
      <c r="R52" s="70">
        <v>17252.28</v>
      </c>
      <c r="S52" s="81">
        <v>47505.13</v>
      </c>
      <c r="T52" s="48">
        <v>1</v>
      </c>
      <c r="U52" s="53">
        <v>4</v>
      </c>
      <c r="V52" s="15"/>
      <c r="W52" s="18" t="s">
        <v>18</v>
      </c>
      <c r="X52" s="18" t="s">
        <v>9</v>
      </c>
      <c r="Y52" s="18" t="s">
        <v>62</v>
      </c>
      <c r="Z52" s="18"/>
      <c r="AA52" s="18"/>
      <c r="AB52" s="18" t="s">
        <v>33</v>
      </c>
      <c r="AC52" s="18"/>
      <c r="AD52" s="18" t="s">
        <v>1082</v>
      </c>
      <c r="AE52" s="18" t="s">
        <v>338</v>
      </c>
      <c r="AF52" s="18"/>
      <c r="AG52" s="85"/>
      <c r="AH52" s="18" t="s">
        <v>264</v>
      </c>
      <c r="AI52" s="85"/>
      <c r="AJ52" s="85"/>
      <c r="AK52" s="85"/>
      <c r="AL52" s="91">
        <f t="shared" si="4"/>
        <v>86687</v>
      </c>
      <c r="AM52" s="91">
        <v>54192</v>
      </c>
      <c r="AN52" s="92"/>
      <c r="AO52" s="91">
        <v>24430</v>
      </c>
      <c r="AP52" s="91">
        <v>3891</v>
      </c>
      <c r="AQ52" s="91">
        <v>4174</v>
      </c>
      <c r="AR52" s="91">
        <f t="shared" si="5"/>
        <v>86687</v>
      </c>
      <c r="AS52" s="85"/>
      <c r="AT52" s="85"/>
      <c r="AU52" s="85"/>
      <c r="AV52" s="85"/>
      <c r="AW52" s="85"/>
      <c r="AX52" s="85"/>
      <c r="AY52" s="92"/>
      <c r="AZ52" s="85"/>
      <c r="BA52" s="85"/>
      <c r="BB52" s="91">
        <v>17960</v>
      </c>
      <c r="BC52" s="91">
        <v>26</v>
      </c>
      <c r="BD52" s="101">
        <v>19</v>
      </c>
      <c r="BE52" s="102">
        <v>19</v>
      </c>
      <c r="BF52" s="79"/>
      <c r="BG52" s="79">
        <v>9</v>
      </c>
      <c r="BH52" s="79"/>
      <c r="BI52" s="105">
        <v>6</v>
      </c>
      <c r="BJ52" s="105">
        <v>9</v>
      </c>
      <c r="BK52" s="79">
        <v>8</v>
      </c>
      <c r="BL52" s="15"/>
    </row>
    <row r="53" spans="1:64" ht="36" customHeight="1" x14ac:dyDescent="0.3">
      <c r="A53" s="31">
        <v>51</v>
      </c>
      <c r="B53" s="32" t="s">
        <v>808</v>
      </c>
      <c r="C53" s="32" t="s">
        <v>809</v>
      </c>
      <c r="D53" s="31">
        <v>2019</v>
      </c>
      <c r="E53" s="33" t="s">
        <v>520</v>
      </c>
      <c r="F53" s="31" t="s">
        <v>443</v>
      </c>
      <c r="G53" s="33" t="s">
        <v>225</v>
      </c>
      <c r="H53" s="51">
        <v>23403700000</v>
      </c>
      <c r="I53" s="56">
        <v>162</v>
      </c>
      <c r="J53" s="51">
        <v>1733607407.4074073</v>
      </c>
      <c r="K53" s="34" t="s">
        <v>241</v>
      </c>
      <c r="L53" s="31" t="s">
        <v>120</v>
      </c>
      <c r="M53" s="31" t="s">
        <v>121</v>
      </c>
      <c r="N53" s="31" t="s">
        <v>90</v>
      </c>
      <c r="O53" s="31" t="s">
        <v>5</v>
      </c>
      <c r="P53" s="31" t="s">
        <v>31</v>
      </c>
      <c r="Q53" s="73">
        <v>984289</v>
      </c>
      <c r="R53" s="73">
        <v>1184.6600000000001</v>
      </c>
      <c r="S53" s="73">
        <v>12749.8</v>
      </c>
      <c r="T53" s="51">
        <v>0</v>
      </c>
      <c r="U53" s="56">
        <v>11</v>
      </c>
      <c r="V53" s="31"/>
      <c r="W53" s="34" t="s">
        <v>16</v>
      </c>
      <c r="X53" s="34"/>
      <c r="Y53" s="34"/>
      <c r="Z53" s="34"/>
      <c r="AA53" s="34"/>
      <c r="AB53" s="34"/>
      <c r="AC53" s="34"/>
      <c r="AD53" s="34" t="s">
        <v>481</v>
      </c>
      <c r="AE53" s="34" t="s">
        <v>345</v>
      </c>
      <c r="AF53" s="34"/>
      <c r="AG53" s="88"/>
      <c r="AH53" s="34" t="s">
        <v>285</v>
      </c>
      <c r="AI53" s="88"/>
      <c r="AJ53" s="88"/>
      <c r="AK53" s="88"/>
      <c r="AL53" s="98"/>
      <c r="AM53" s="98"/>
      <c r="AN53" s="98"/>
      <c r="AO53" s="98"/>
      <c r="AP53" s="98"/>
      <c r="AQ53" s="98"/>
      <c r="AR53" s="98">
        <f t="shared" si="5"/>
        <v>0</v>
      </c>
      <c r="AS53" s="88"/>
      <c r="AT53" s="88"/>
      <c r="AU53" s="88"/>
      <c r="AV53" s="85"/>
      <c r="AW53" s="88"/>
      <c r="AX53" s="88"/>
      <c r="AY53" s="98"/>
      <c r="AZ53" s="88"/>
      <c r="BA53" s="88"/>
      <c r="BB53" s="91">
        <v>79</v>
      </c>
      <c r="BC53" s="98"/>
      <c r="BD53" s="108">
        <v>11</v>
      </c>
      <c r="BE53" s="109">
        <f>295/30</f>
        <v>9.8333333333333339</v>
      </c>
      <c r="BF53" s="68">
        <f>99/30</f>
        <v>3.3</v>
      </c>
      <c r="BG53" s="68"/>
      <c r="BH53" s="68"/>
      <c r="BI53" s="68">
        <f>48/30</f>
        <v>1.6</v>
      </c>
      <c r="BJ53" s="68">
        <f>198/30</f>
        <v>6.6</v>
      </c>
      <c r="BK53" s="68">
        <f>320/30</f>
        <v>10.666666666666666</v>
      </c>
      <c r="BL53" s="31" t="s">
        <v>44</v>
      </c>
    </row>
    <row r="54" spans="1:64" ht="36" customHeight="1" x14ac:dyDescent="0.3">
      <c r="A54" s="15">
        <v>52</v>
      </c>
      <c r="B54" s="16" t="s">
        <v>810</v>
      </c>
      <c r="C54" s="16" t="s">
        <v>811</v>
      </c>
      <c r="D54" s="15">
        <v>2019</v>
      </c>
      <c r="E54" s="17" t="s">
        <v>521</v>
      </c>
      <c r="F54" s="15" t="s">
        <v>513</v>
      </c>
      <c r="G54" s="19" t="s">
        <v>225</v>
      </c>
      <c r="H54" s="48">
        <v>9917000000</v>
      </c>
      <c r="I54" s="53">
        <v>71.7</v>
      </c>
      <c r="J54" s="48">
        <v>1659748953.9748955</v>
      </c>
      <c r="K54" s="18" t="s">
        <v>241</v>
      </c>
      <c r="L54" s="15" t="s">
        <v>134</v>
      </c>
      <c r="M54" s="15" t="s">
        <v>135</v>
      </c>
      <c r="N54" s="15" t="s">
        <v>90</v>
      </c>
      <c r="O54" s="15" t="s">
        <v>42</v>
      </c>
      <c r="P54" s="15" t="s">
        <v>495</v>
      </c>
      <c r="Q54" s="70">
        <v>269660</v>
      </c>
      <c r="R54" s="70">
        <v>32674.04</v>
      </c>
      <c r="S54" s="81">
        <v>33913.480000000003</v>
      </c>
      <c r="T54" s="48">
        <v>0</v>
      </c>
      <c r="U54" s="53">
        <v>2</v>
      </c>
      <c r="V54" s="15"/>
      <c r="W54" s="18" t="s">
        <v>1050</v>
      </c>
      <c r="X54" s="18" t="s">
        <v>9</v>
      </c>
      <c r="Y54" s="18" t="s">
        <v>61</v>
      </c>
      <c r="Z54" s="18"/>
      <c r="AA54" s="18"/>
      <c r="AB54" s="18" t="s">
        <v>33</v>
      </c>
      <c r="AC54" s="18"/>
      <c r="AD54" s="18" t="s">
        <v>1082</v>
      </c>
      <c r="AE54" s="18"/>
      <c r="AF54" s="18"/>
      <c r="AG54" s="85"/>
      <c r="AH54" s="18" t="s">
        <v>285</v>
      </c>
      <c r="AI54" s="85"/>
      <c r="AJ54" s="85"/>
      <c r="AK54" s="85"/>
      <c r="AL54" s="91">
        <f>SUM(AM54:AQ54)</f>
        <v>7234</v>
      </c>
      <c r="AM54" s="91">
        <v>7234</v>
      </c>
      <c r="AN54" s="92"/>
      <c r="AO54" s="92"/>
      <c r="AP54" s="92"/>
      <c r="AQ54" s="92"/>
      <c r="AR54" s="91">
        <f t="shared" si="5"/>
        <v>7234</v>
      </c>
      <c r="AS54" s="85"/>
      <c r="AT54" s="85"/>
      <c r="AU54" s="85"/>
      <c r="AV54" s="85"/>
      <c r="AW54" s="85"/>
      <c r="AX54" s="85"/>
      <c r="AY54" s="91">
        <v>436</v>
      </c>
      <c r="AZ54" s="85"/>
      <c r="BA54" s="85"/>
      <c r="BB54" s="91">
        <v>2753</v>
      </c>
      <c r="BC54" s="91">
        <v>899</v>
      </c>
      <c r="BD54" s="101">
        <v>15</v>
      </c>
      <c r="BE54" s="102">
        <f>462/30</f>
        <v>15.4</v>
      </c>
      <c r="BF54" s="79"/>
      <c r="BG54" s="79">
        <f>35/30</f>
        <v>1.1666666666666667</v>
      </c>
      <c r="BH54" s="79"/>
      <c r="BI54" s="79">
        <f>92/30</f>
        <v>3.0666666666666669</v>
      </c>
      <c r="BJ54" s="105">
        <v>1.6</v>
      </c>
      <c r="BK54" s="105">
        <v>1.7</v>
      </c>
      <c r="BL54" s="15"/>
    </row>
    <row r="55" spans="1:64" ht="36" customHeight="1" x14ac:dyDescent="0.3">
      <c r="A55" s="15">
        <v>53</v>
      </c>
      <c r="B55" s="16" t="s">
        <v>812</v>
      </c>
      <c r="C55" s="16" t="s">
        <v>813</v>
      </c>
      <c r="D55" s="15">
        <v>2019</v>
      </c>
      <c r="E55" s="17" t="s">
        <v>522</v>
      </c>
      <c r="F55" s="15" t="s">
        <v>471</v>
      </c>
      <c r="G55" s="19" t="s">
        <v>225</v>
      </c>
      <c r="H55" s="48">
        <v>12100000000</v>
      </c>
      <c r="I55" s="53">
        <v>49</v>
      </c>
      <c r="J55" s="48">
        <v>2963265306.1224489</v>
      </c>
      <c r="K55" s="18" t="s">
        <v>241</v>
      </c>
      <c r="L55" s="15" t="s">
        <v>136</v>
      </c>
      <c r="M55" s="15" t="s">
        <v>137</v>
      </c>
      <c r="N55" s="15" t="s">
        <v>90</v>
      </c>
      <c r="O55" s="15" t="s">
        <v>42</v>
      </c>
      <c r="P55" s="15" t="s">
        <v>7</v>
      </c>
      <c r="Q55" s="70">
        <v>7038</v>
      </c>
      <c r="R55" s="70">
        <v>3375.88</v>
      </c>
      <c r="S55" s="81">
        <v>7419.6</v>
      </c>
      <c r="T55" s="48">
        <v>1</v>
      </c>
      <c r="U55" s="53">
        <v>4</v>
      </c>
      <c r="V55" s="15" t="s">
        <v>18</v>
      </c>
      <c r="W55" s="18" t="s">
        <v>18</v>
      </c>
      <c r="X55" s="18" t="s">
        <v>9</v>
      </c>
      <c r="Y55" s="18" t="s">
        <v>341</v>
      </c>
      <c r="Z55" s="18"/>
      <c r="AA55" s="18"/>
      <c r="AB55" s="18" t="s">
        <v>33</v>
      </c>
      <c r="AC55" s="18"/>
      <c r="AD55" s="18" t="s">
        <v>1082</v>
      </c>
      <c r="AE55" s="18" t="s">
        <v>265</v>
      </c>
      <c r="AF55" s="18"/>
      <c r="AG55" s="85"/>
      <c r="AH55" s="18" t="s">
        <v>285</v>
      </c>
      <c r="AI55" s="85"/>
      <c r="AJ55" s="85"/>
      <c r="AK55" s="85"/>
      <c r="AL55" s="91">
        <f>SUM(AM55:AQ55)</f>
        <v>10659</v>
      </c>
      <c r="AM55" s="91">
        <f>654+5447+368</f>
        <v>6469</v>
      </c>
      <c r="AN55" s="92"/>
      <c r="AO55" s="91">
        <f>28+4162</f>
        <v>4190</v>
      </c>
      <c r="AP55" s="92"/>
      <c r="AQ55" s="92"/>
      <c r="AR55" s="91">
        <f t="shared" si="5"/>
        <v>10659</v>
      </c>
      <c r="AS55" s="85"/>
      <c r="AT55" s="85"/>
      <c r="AU55" s="85"/>
      <c r="AV55" s="85"/>
      <c r="AW55" s="85"/>
      <c r="AX55" s="85"/>
      <c r="AY55" s="92"/>
      <c r="AZ55" s="85"/>
      <c r="BA55" s="85"/>
      <c r="BB55" s="91">
        <f>4320+661</f>
        <v>4981</v>
      </c>
      <c r="BC55" s="91">
        <f>657</f>
        <v>657</v>
      </c>
      <c r="BD55" s="101">
        <v>10</v>
      </c>
      <c r="BE55" s="102">
        <v>10</v>
      </c>
      <c r="BF55" s="79"/>
      <c r="BG55" s="79">
        <v>1.7</v>
      </c>
      <c r="BH55" s="79"/>
      <c r="BI55" s="79">
        <v>3</v>
      </c>
      <c r="BJ55" s="79">
        <v>3.5</v>
      </c>
      <c r="BK55" s="79">
        <v>3</v>
      </c>
      <c r="BL55" s="15"/>
    </row>
    <row r="56" spans="1:64" s="35" customFormat="1" ht="36" customHeight="1" x14ac:dyDescent="0.3">
      <c r="A56" s="15">
        <v>54</v>
      </c>
      <c r="B56" s="16" t="s">
        <v>814</v>
      </c>
      <c r="C56" s="16" t="s">
        <v>815</v>
      </c>
      <c r="D56" s="15">
        <v>2019</v>
      </c>
      <c r="E56" s="17" t="s">
        <v>346</v>
      </c>
      <c r="F56" s="15" t="s">
        <v>565</v>
      </c>
      <c r="G56" s="19" t="s">
        <v>225</v>
      </c>
      <c r="H56" s="48">
        <v>28172000000</v>
      </c>
      <c r="I56" s="53">
        <v>123</v>
      </c>
      <c r="J56" s="48">
        <v>2748487804.8780489</v>
      </c>
      <c r="K56" s="18" t="s">
        <v>241</v>
      </c>
      <c r="L56" s="15" t="s">
        <v>138</v>
      </c>
      <c r="M56" s="15" t="s">
        <v>139</v>
      </c>
      <c r="N56" s="15" t="s">
        <v>90</v>
      </c>
      <c r="O56" s="15" t="s">
        <v>42</v>
      </c>
      <c r="P56" s="15" t="s">
        <v>704</v>
      </c>
      <c r="Q56" s="70">
        <v>1245.008</v>
      </c>
      <c r="R56" s="70"/>
      <c r="S56" s="81"/>
      <c r="T56" s="48">
        <v>0</v>
      </c>
      <c r="U56" s="53">
        <v>0</v>
      </c>
      <c r="V56" s="15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85"/>
      <c r="AH56" s="18"/>
      <c r="AI56" s="85"/>
      <c r="AJ56" s="85"/>
      <c r="AK56" s="85"/>
      <c r="AL56" s="91">
        <f>SUM(AM56:AQ56)</f>
        <v>1992552</v>
      </c>
      <c r="AM56" s="91">
        <f>717862+43630+117301+260416+6155+2942+2207+456+246+4452</f>
        <v>1155667</v>
      </c>
      <c r="AN56" s="92"/>
      <c r="AO56" s="92"/>
      <c r="AP56" s="91">
        <f>163406+35610</f>
        <v>199016</v>
      </c>
      <c r="AQ56" s="91">
        <f>229725+224372+1587+182185</f>
        <v>637869</v>
      </c>
      <c r="AR56" s="91">
        <f t="shared" si="5"/>
        <v>1992552</v>
      </c>
      <c r="AS56" s="85"/>
      <c r="AT56" s="85"/>
      <c r="AU56" s="85"/>
      <c r="AV56" s="85"/>
      <c r="AW56" s="85"/>
      <c r="AX56" s="85"/>
      <c r="AY56" s="92"/>
      <c r="AZ56" s="85"/>
      <c r="BA56" s="85"/>
      <c r="BB56" s="91">
        <f>3124+109</f>
        <v>3233</v>
      </c>
      <c r="BC56" s="92"/>
      <c r="BD56" s="101">
        <v>17</v>
      </c>
      <c r="BE56" s="102">
        <v>14</v>
      </c>
      <c r="BF56" s="79"/>
      <c r="BG56" s="79">
        <v>13.5</v>
      </c>
      <c r="BH56" s="79"/>
      <c r="BI56" s="79"/>
      <c r="BJ56" s="79"/>
      <c r="BK56" s="79"/>
      <c r="BL56" s="15"/>
    </row>
    <row r="57" spans="1:64" ht="36" customHeight="1" x14ac:dyDescent="0.3">
      <c r="A57" s="15">
        <v>55</v>
      </c>
      <c r="B57" s="16" t="s">
        <v>816</v>
      </c>
      <c r="C57" s="16" t="s">
        <v>817</v>
      </c>
      <c r="D57" s="15">
        <v>2019</v>
      </c>
      <c r="E57" s="17" t="s">
        <v>70</v>
      </c>
      <c r="F57" s="15" t="s">
        <v>566</v>
      </c>
      <c r="G57" s="19" t="s">
        <v>225</v>
      </c>
      <c r="H57" s="48">
        <v>6752000000</v>
      </c>
      <c r="I57" s="53">
        <v>83</v>
      </c>
      <c r="J57" s="48">
        <v>976192771.08433735</v>
      </c>
      <c r="K57" s="18" t="s">
        <v>241</v>
      </c>
      <c r="L57" s="15" t="s">
        <v>127</v>
      </c>
      <c r="M57" s="15" t="s">
        <v>128</v>
      </c>
      <c r="N57" s="15" t="s">
        <v>90</v>
      </c>
      <c r="O57" s="15" t="s">
        <v>42</v>
      </c>
      <c r="P57" s="15" t="s">
        <v>4</v>
      </c>
      <c r="Q57" s="70">
        <v>4251.2</v>
      </c>
      <c r="R57" s="70">
        <v>2079.36</v>
      </c>
      <c r="S57" s="81">
        <v>5808.82</v>
      </c>
      <c r="T57" s="48">
        <v>0</v>
      </c>
      <c r="U57" s="53">
        <v>4</v>
      </c>
      <c r="V57" s="15"/>
      <c r="W57" s="18" t="s">
        <v>16</v>
      </c>
      <c r="X57" s="18" t="s">
        <v>9</v>
      </c>
      <c r="Y57" s="18" t="s">
        <v>341</v>
      </c>
      <c r="Z57" s="18"/>
      <c r="AA57" s="18"/>
      <c r="AB57" s="18"/>
      <c r="AC57" s="18"/>
      <c r="AD57" s="18" t="s">
        <v>1211</v>
      </c>
      <c r="AE57" s="18" t="s">
        <v>265</v>
      </c>
      <c r="AF57" s="18"/>
      <c r="AG57" s="85"/>
      <c r="AH57" s="18" t="s">
        <v>285</v>
      </c>
      <c r="AI57" s="85"/>
      <c r="AJ57" s="85"/>
      <c r="AK57" s="85"/>
      <c r="AL57" s="91">
        <f>SUM(AM57:AQ57)</f>
        <v>2158</v>
      </c>
      <c r="AM57" s="91">
        <v>2158</v>
      </c>
      <c r="AN57" s="92"/>
      <c r="AO57" s="92"/>
      <c r="AP57" s="92"/>
      <c r="AQ57" s="92"/>
      <c r="AR57" s="91">
        <f t="shared" si="5"/>
        <v>2158</v>
      </c>
      <c r="AS57" s="85"/>
      <c r="AT57" s="85"/>
      <c r="AU57" s="85"/>
      <c r="AV57" s="85"/>
      <c r="AW57" s="85"/>
      <c r="AX57" s="85"/>
      <c r="AY57" s="92"/>
      <c r="AZ57" s="85"/>
      <c r="BA57" s="85"/>
      <c r="BB57" s="91">
        <f>2138</f>
        <v>2138</v>
      </c>
      <c r="BC57" s="92"/>
      <c r="BD57" s="101">
        <v>13</v>
      </c>
      <c r="BE57" s="102">
        <v>13</v>
      </c>
      <c r="BF57" s="79"/>
      <c r="BG57" s="79">
        <v>1.5</v>
      </c>
      <c r="BH57" s="79"/>
      <c r="BI57" s="79">
        <v>2.5</v>
      </c>
      <c r="BJ57" s="79">
        <v>5</v>
      </c>
      <c r="BK57" s="79">
        <v>4</v>
      </c>
      <c r="BL57" s="15"/>
    </row>
    <row r="58" spans="1:64" ht="36" customHeight="1" x14ac:dyDescent="0.3">
      <c r="A58" s="15">
        <v>56</v>
      </c>
      <c r="B58" s="16" t="s">
        <v>818</v>
      </c>
      <c r="C58" s="16" t="s">
        <v>819</v>
      </c>
      <c r="D58" s="15">
        <v>2019</v>
      </c>
      <c r="E58" s="17" t="s">
        <v>567</v>
      </c>
      <c r="F58" s="15" t="s">
        <v>568</v>
      </c>
      <c r="G58" s="19" t="s">
        <v>225</v>
      </c>
      <c r="H58" s="48">
        <v>18670000000</v>
      </c>
      <c r="I58" s="53">
        <v>120</v>
      </c>
      <c r="J58" s="48">
        <v>1867000000</v>
      </c>
      <c r="K58" s="18" t="s">
        <v>241</v>
      </c>
      <c r="L58" s="15" t="s">
        <v>84</v>
      </c>
      <c r="M58" s="15" t="s">
        <v>140</v>
      </c>
      <c r="N58" s="15" t="s">
        <v>199</v>
      </c>
      <c r="O58" s="15" t="s">
        <v>5</v>
      </c>
      <c r="P58" s="18" t="s">
        <v>4</v>
      </c>
      <c r="Q58" s="70">
        <v>1652.7</v>
      </c>
      <c r="R58" s="70">
        <v>1303.93</v>
      </c>
      <c r="S58" s="81">
        <v>19431</v>
      </c>
      <c r="T58" s="48">
        <v>5</v>
      </c>
      <c r="U58" s="53">
        <v>13</v>
      </c>
      <c r="V58" s="15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85"/>
      <c r="AH58" s="18"/>
      <c r="AI58" s="85"/>
      <c r="AJ58" s="85"/>
      <c r="AK58" s="85"/>
      <c r="AL58" s="92"/>
      <c r="AM58" s="92"/>
      <c r="AN58" s="92"/>
      <c r="AO58" s="92"/>
      <c r="AP58" s="92"/>
      <c r="AQ58" s="92"/>
      <c r="AR58" s="92">
        <f t="shared" si="5"/>
        <v>0</v>
      </c>
      <c r="AS58" s="85"/>
      <c r="AT58" s="85"/>
      <c r="AU58" s="85"/>
      <c r="AV58" s="85"/>
      <c r="AW58" s="85"/>
      <c r="AX58" s="85"/>
      <c r="AY58" s="92"/>
      <c r="AZ58" s="85"/>
      <c r="BA58" s="85"/>
      <c r="BB58" s="91">
        <f>235</f>
        <v>235</v>
      </c>
      <c r="BC58" s="91">
        <f>93</f>
        <v>93</v>
      </c>
      <c r="BD58" s="101">
        <v>15</v>
      </c>
      <c r="BE58" s="102">
        <v>15</v>
      </c>
      <c r="BF58" s="79"/>
      <c r="BG58" s="79"/>
      <c r="BH58" s="79"/>
      <c r="BI58" s="79"/>
      <c r="BJ58" s="79"/>
      <c r="BK58" s="79"/>
      <c r="BL58" s="15"/>
    </row>
    <row r="59" spans="1:64" ht="36" customHeight="1" x14ac:dyDescent="0.3">
      <c r="A59" s="15">
        <v>57</v>
      </c>
      <c r="B59" s="16" t="s">
        <v>820</v>
      </c>
      <c r="C59" s="16" t="s">
        <v>821</v>
      </c>
      <c r="D59" s="15">
        <v>2019</v>
      </c>
      <c r="E59" s="17" t="s">
        <v>569</v>
      </c>
      <c r="F59" s="15" t="s">
        <v>568</v>
      </c>
      <c r="G59" s="19" t="s">
        <v>225</v>
      </c>
      <c r="H59" s="48">
        <v>9712120000</v>
      </c>
      <c r="I59" s="53">
        <v>98</v>
      </c>
      <c r="J59" s="48">
        <v>1189239183.6734695</v>
      </c>
      <c r="K59" s="18" t="s">
        <v>241</v>
      </c>
      <c r="L59" s="15" t="s">
        <v>93</v>
      </c>
      <c r="M59" s="15" t="s">
        <v>94</v>
      </c>
      <c r="N59" s="15" t="s">
        <v>199</v>
      </c>
      <c r="O59" s="15" t="s">
        <v>42</v>
      </c>
      <c r="P59" s="15" t="s">
        <v>4</v>
      </c>
      <c r="Q59" s="70">
        <v>894.9</v>
      </c>
      <c r="R59" s="70">
        <v>510.81</v>
      </c>
      <c r="S59" s="81">
        <v>3836.25</v>
      </c>
      <c r="T59" s="48">
        <v>1</v>
      </c>
      <c r="U59" s="53">
        <v>8</v>
      </c>
      <c r="V59" s="15" t="s">
        <v>16</v>
      </c>
      <c r="W59" s="18" t="s">
        <v>16</v>
      </c>
      <c r="X59" s="18" t="s">
        <v>9</v>
      </c>
      <c r="Y59" s="18"/>
      <c r="Z59" s="18"/>
      <c r="AA59" s="18"/>
      <c r="AB59" s="18"/>
      <c r="AC59" s="18"/>
      <c r="AD59" s="18"/>
      <c r="AE59" s="18"/>
      <c r="AF59" s="18"/>
      <c r="AG59" s="85"/>
      <c r="AH59" s="18"/>
      <c r="AI59" s="85"/>
      <c r="AJ59" s="85"/>
      <c r="AK59" s="85"/>
      <c r="AL59" s="91">
        <f>SUM(AM59:AQ59)</f>
        <v>5543</v>
      </c>
      <c r="AM59" s="91">
        <v>5543</v>
      </c>
      <c r="AN59" s="92"/>
      <c r="AO59" s="92"/>
      <c r="AP59" s="92"/>
      <c r="AQ59" s="92"/>
      <c r="AR59" s="91">
        <f t="shared" si="5"/>
        <v>5543</v>
      </c>
      <c r="AS59" s="85"/>
      <c r="AT59" s="87">
        <v>178</v>
      </c>
      <c r="AU59" s="85"/>
      <c r="AV59" s="85">
        <v>65</v>
      </c>
      <c r="AW59" s="85"/>
      <c r="AX59" s="85"/>
      <c r="AY59" s="91">
        <v>110</v>
      </c>
      <c r="AZ59" s="85"/>
      <c r="BA59" s="85"/>
      <c r="BB59" s="91">
        <f>2642</f>
        <v>2642</v>
      </c>
      <c r="BC59" s="91">
        <v>230</v>
      </c>
      <c r="BD59" s="101">
        <v>15</v>
      </c>
      <c r="BE59" s="102"/>
      <c r="BF59" s="79"/>
      <c r="BG59" s="79">
        <v>3</v>
      </c>
      <c r="BH59" s="79"/>
      <c r="BI59" s="79">
        <v>5</v>
      </c>
      <c r="BJ59" s="79"/>
      <c r="BK59" s="79"/>
      <c r="BL59" s="15"/>
    </row>
    <row r="60" spans="1:64" ht="36" customHeight="1" x14ac:dyDescent="0.3">
      <c r="A60" s="31">
        <v>58</v>
      </c>
      <c r="B60" s="32" t="s">
        <v>822</v>
      </c>
      <c r="C60" s="32" t="s">
        <v>823</v>
      </c>
      <c r="D60" s="31">
        <v>2019</v>
      </c>
      <c r="E60" s="33" t="s">
        <v>347</v>
      </c>
      <c r="F60" s="31" t="s">
        <v>570</v>
      </c>
      <c r="G60" s="33" t="s">
        <v>225</v>
      </c>
      <c r="H60" s="51">
        <v>7135000000</v>
      </c>
      <c r="I60" s="56">
        <v>53</v>
      </c>
      <c r="J60" s="51">
        <v>1615471698.1132073</v>
      </c>
      <c r="K60" s="34" t="s">
        <v>241</v>
      </c>
      <c r="L60" s="31" t="s">
        <v>93</v>
      </c>
      <c r="M60" s="31" t="s">
        <v>102</v>
      </c>
      <c r="N60" s="31" t="s">
        <v>199</v>
      </c>
      <c r="O60" s="31" t="s">
        <v>5</v>
      </c>
      <c r="P60" s="31" t="s">
        <v>4</v>
      </c>
      <c r="Q60" s="73">
        <v>2031.4</v>
      </c>
      <c r="R60" s="73">
        <v>1000.46</v>
      </c>
      <c r="S60" s="73">
        <v>15755.04</v>
      </c>
      <c r="T60" s="51">
        <v>5</v>
      </c>
      <c r="U60" s="56">
        <v>10</v>
      </c>
      <c r="V60" s="31"/>
      <c r="W60" s="34"/>
      <c r="X60" s="34"/>
      <c r="Y60" s="34"/>
      <c r="Z60" s="34"/>
      <c r="AA60" s="34"/>
      <c r="AB60" s="34"/>
      <c r="AC60" s="34"/>
      <c r="AD60" s="34" t="s">
        <v>1213</v>
      </c>
      <c r="AE60" s="34" t="s">
        <v>265</v>
      </c>
      <c r="AF60" s="34"/>
      <c r="AG60" s="88"/>
      <c r="AH60" s="34" t="s">
        <v>285</v>
      </c>
      <c r="AI60" s="88"/>
      <c r="AJ60" s="88"/>
      <c r="AK60" s="88"/>
      <c r="AL60" s="98"/>
      <c r="AM60" s="98"/>
      <c r="AN60" s="98"/>
      <c r="AO60" s="98"/>
      <c r="AP60" s="98"/>
      <c r="AQ60" s="98"/>
      <c r="AR60" s="98">
        <f t="shared" si="5"/>
        <v>0</v>
      </c>
      <c r="AS60" s="88"/>
      <c r="AT60" s="88"/>
      <c r="AU60" s="88"/>
      <c r="AV60" s="85"/>
      <c r="AW60" s="88"/>
      <c r="AX60" s="88"/>
      <c r="AY60" s="98"/>
      <c r="AZ60" s="88"/>
      <c r="BA60" s="88"/>
      <c r="BB60" s="91">
        <f>28+9</f>
        <v>37</v>
      </c>
      <c r="BC60" s="98"/>
      <c r="BD60" s="108">
        <v>7</v>
      </c>
      <c r="BE60" s="109">
        <v>7</v>
      </c>
      <c r="BF60" s="68">
        <v>2.5</v>
      </c>
      <c r="BG60" s="68"/>
      <c r="BH60" s="68"/>
      <c r="BI60" s="68">
        <v>1</v>
      </c>
      <c r="BJ60" s="68">
        <v>5</v>
      </c>
      <c r="BK60" s="68">
        <v>4</v>
      </c>
      <c r="BL60" s="31"/>
    </row>
    <row r="61" spans="1:64" s="35" customFormat="1" ht="36" customHeight="1" x14ac:dyDescent="0.3">
      <c r="A61" s="15">
        <v>59</v>
      </c>
      <c r="B61" s="16" t="s">
        <v>824</v>
      </c>
      <c r="C61" s="16" t="s">
        <v>825</v>
      </c>
      <c r="D61" s="15">
        <v>2019</v>
      </c>
      <c r="E61" s="17" t="s">
        <v>657</v>
      </c>
      <c r="F61" s="15" t="s">
        <v>571</v>
      </c>
      <c r="G61" s="19" t="s">
        <v>225</v>
      </c>
      <c r="H61" s="48">
        <v>9930000000</v>
      </c>
      <c r="I61" s="53">
        <v>42</v>
      </c>
      <c r="J61" s="48">
        <v>2837142857.1428571</v>
      </c>
      <c r="K61" s="18" t="s">
        <v>241</v>
      </c>
      <c r="L61" s="15" t="s">
        <v>116</v>
      </c>
      <c r="M61" s="15" t="s">
        <v>141</v>
      </c>
      <c r="N61" s="15" t="s">
        <v>90</v>
      </c>
      <c r="O61" s="15" t="s">
        <v>59</v>
      </c>
      <c r="P61" s="15" t="s">
        <v>7</v>
      </c>
      <c r="Q61" s="70">
        <v>19845</v>
      </c>
      <c r="R61" s="70">
        <v>2861.3</v>
      </c>
      <c r="S61" s="81">
        <v>8373.2999999999993</v>
      </c>
      <c r="T61" s="48">
        <v>0</v>
      </c>
      <c r="U61" s="53">
        <v>3</v>
      </c>
      <c r="V61" s="15"/>
      <c r="W61" s="18" t="s">
        <v>16</v>
      </c>
      <c r="X61" s="18" t="s">
        <v>9</v>
      </c>
      <c r="Y61" s="18"/>
      <c r="Z61" s="18"/>
      <c r="AA61" s="18"/>
      <c r="AB61" s="18"/>
      <c r="AC61" s="18"/>
      <c r="AD61" s="18"/>
      <c r="AE61" s="18"/>
      <c r="AF61" s="18"/>
      <c r="AG61" s="85"/>
      <c r="AH61" s="18"/>
      <c r="AI61" s="85"/>
      <c r="AJ61" s="85"/>
      <c r="AK61" s="85"/>
      <c r="AL61" s="91">
        <f t="shared" ref="AL61:AL66" si="6">SUM(AM61:AQ61)</f>
        <v>2931</v>
      </c>
      <c r="AM61" s="91">
        <f>1500+1431</f>
        <v>2931</v>
      </c>
      <c r="AN61" s="92"/>
      <c r="AO61" s="92"/>
      <c r="AP61" s="92"/>
      <c r="AQ61" s="92"/>
      <c r="AR61" s="91">
        <f t="shared" si="5"/>
        <v>2931</v>
      </c>
      <c r="AS61" s="85"/>
      <c r="AT61" s="85"/>
      <c r="AU61" s="85"/>
      <c r="AV61" s="85"/>
      <c r="AW61" s="85"/>
      <c r="AX61" s="85"/>
      <c r="AY61" s="91">
        <v>253</v>
      </c>
      <c r="AZ61" s="85"/>
      <c r="BA61" s="85"/>
      <c r="BB61" s="91">
        <v>4434</v>
      </c>
      <c r="BC61" s="91">
        <v>489</v>
      </c>
      <c r="BD61" s="101">
        <v>8</v>
      </c>
      <c r="BE61" s="102"/>
      <c r="BF61" s="79"/>
      <c r="BG61" s="79">
        <v>1</v>
      </c>
      <c r="BH61" s="79"/>
      <c r="BI61" s="79">
        <v>2.5</v>
      </c>
      <c r="BJ61" s="79">
        <v>3</v>
      </c>
      <c r="BK61" s="79">
        <v>2.5</v>
      </c>
      <c r="BL61" s="15"/>
    </row>
    <row r="62" spans="1:64" ht="36" customHeight="1" x14ac:dyDescent="0.3">
      <c r="A62" s="15">
        <v>60</v>
      </c>
      <c r="B62" s="16" t="s">
        <v>826</v>
      </c>
      <c r="C62" s="16" t="s">
        <v>827</v>
      </c>
      <c r="D62" s="15">
        <v>2019</v>
      </c>
      <c r="E62" s="17" t="s">
        <v>523</v>
      </c>
      <c r="F62" s="15" t="s">
        <v>524</v>
      </c>
      <c r="G62" s="19" t="s">
        <v>225</v>
      </c>
      <c r="H62" s="48">
        <v>60749000000</v>
      </c>
      <c r="I62" s="53">
        <v>292</v>
      </c>
      <c r="J62" s="48">
        <v>2496534246.5753422</v>
      </c>
      <c r="K62" s="18" t="s">
        <v>241</v>
      </c>
      <c r="L62" s="15" t="s">
        <v>142</v>
      </c>
      <c r="M62" s="15" t="s">
        <v>143</v>
      </c>
      <c r="N62" s="15" t="s">
        <v>90</v>
      </c>
      <c r="O62" s="15" t="s">
        <v>42</v>
      </c>
      <c r="P62" s="15" t="s">
        <v>622</v>
      </c>
      <c r="Q62" s="70">
        <v>146013.29999999999</v>
      </c>
      <c r="R62" s="70">
        <v>18572.38</v>
      </c>
      <c r="S62" s="81">
        <v>32191.17</v>
      </c>
      <c r="T62" s="48">
        <v>0</v>
      </c>
      <c r="U62" s="53">
        <v>2</v>
      </c>
      <c r="V62" s="15"/>
      <c r="W62" s="18" t="s">
        <v>1050</v>
      </c>
      <c r="X62" s="18" t="s">
        <v>9</v>
      </c>
      <c r="Y62" s="18" t="s">
        <v>61</v>
      </c>
      <c r="Z62" s="18"/>
      <c r="AA62" s="18"/>
      <c r="AB62" s="18" t="s">
        <v>1056</v>
      </c>
      <c r="AC62" s="18"/>
      <c r="AD62" s="18" t="s">
        <v>267</v>
      </c>
      <c r="AE62" s="18"/>
      <c r="AF62" s="20" t="s">
        <v>1118</v>
      </c>
      <c r="AG62" s="87">
        <v>3</v>
      </c>
      <c r="AH62" s="18" t="s">
        <v>285</v>
      </c>
      <c r="AI62" s="87">
        <v>2</v>
      </c>
      <c r="AJ62" s="87">
        <v>3</v>
      </c>
      <c r="AK62" s="87">
        <v>3</v>
      </c>
      <c r="AL62" s="91">
        <f t="shared" si="6"/>
        <v>30004</v>
      </c>
      <c r="AM62" s="91">
        <f>9804+2911+17289</f>
        <v>30004</v>
      </c>
      <c r="AN62" s="92"/>
      <c r="AO62" s="92"/>
      <c r="AP62" s="92"/>
      <c r="AQ62" s="92"/>
      <c r="AR62" s="91">
        <f t="shared" ref="AR62:AR93" si="7">AL62</f>
        <v>30004</v>
      </c>
      <c r="AS62" s="85"/>
      <c r="AT62" s="85"/>
      <c r="AU62" s="85"/>
      <c r="AV62" s="85"/>
      <c r="AW62" s="85"/>
      <c r="AX62" s="85"/>
      <c r="AY62" s="91">
        <v>1758</v>
      </c>
      <c r="AZ62" s="85"/>
      <c r="BA62" s="85"/>
      <c r="BB62" s="91">
        <f>22155+1012</f>
        <v>23167</v>
      </c>
      <c r="BC62" s="91">
        <v>3213</v>
      </c>
      <c r="BD62" s="101">
        <v>19</v>
      </c>
      <c r="BE62" s="102"/>
      <c r="BF62" s="79"/>
      <c r="BG62" s="105">
        <v>5</v>
      </c>
      <c r="BH62" s="79"/>
      <c r="BI62" s="105">
        <v>11</v>
      </c>
      <c r="BJ62" s="105">
        <v>9</v>
      </c>
      <c r="BK62" s="105">
        <v>9</v>
      </c>
      <c r="BL62" s="15"/>
    </row>
    <row r="63" spans="1:64" ht="36" customHeight="1" x14ac:dyDescent="0.3">
      <c r="A63" s="15">
        <v>61</v>
      </c>
      <c r="B63" s="16" t="s">
        <v>828</v>
      </c>
      <c r="C63" s="16" t="s">
        <v>829</v>
      </c>
      <c r="D63" s="15">
        <v>2019</v>
      </c>
      <c r="E63" s="17" t="s">
        <v>351</v>
      </c>
      <c r="F63" s="15" t="s">
        <v>572</v>
      </c>
      <c r="G63" s="19" t="s">
        <v>225</v>
      </c>
      <c r="H63" s="48">
        <v>31960172000</v>
      </c>
      <c r="I63" s="53">
        <v>236</v>
      </c>
      <c r="J63" s="48">
        <v>1625093491.5254238</v>
      </c>
      <c r="K63" s="18" t="s">
        <v>241</v>
      </c>
      <c r="L63" s="15" t="s">
        <v>93</v>
      </c>
      <c r="M63" s="15" t="s">
        <v>102</v>
      </c>
      <c r="N63" s="15" t="s">
        <v>199</v>
      </c>
      <c r="O63" s="15" t="s">
        <v>42</v>
      </c>
      <c r="P63" s="15" t="s">
        <v>4</v>
      </c>
      <c r="Q63" s="70">
        <v>1399.4</v>
      </c>
      <c r="R63" s="70">
        <v>915.56</v>
      </c>
      <c r="S63" s="81">
        <v>18423</v>
      </c>
      <c r="T63" s="48">
        <v>6</v>
      </c>
      <c r="U63" s="53">
        <v>17</v>
      </c>
      <c r="V63" s="15" t="s">
        <v>350</v>
      </c>
      <c r="W63" s="18" t="s">
        <v>18</v>
      </c>
      <c r="X63" s="18" t="s">
        <v>64</v>
      </c>
      <c r="Y63" s="18" t="s">
        <v>341</v>
      </c>
      <c r="Z63" s="18" t="s">
        <v>1074</v>
      </c>
      <c r="AA63" s="18" t="s">
        <v>1053</v>
      </c>
      <c r="AB63" s="18" t="s">
        <v>20</v>
      </c>
      <c r="AC63" s="18"/>
      <c r="AD63" s="18" t="s">
        <v>1088</v>
      </c>
      <c r="AE63" s="18" t="s">
        <v>265</v>
      </c>
      <c r="AF63" s="18"/>
      <c r="AG63" s="85"/>
      <c r="AH63" s="18" t="s">
        <v>264</v>
      </c>
      <c r="AI63" s="85"/>
      <c r="AJ63" s="85"/>
      <c r="AK63" s="85"/>
      <c r="AL63" s="91">
        <f t="shared" si="6"/>
        <v>27129</v>
      </c>
      <c r="AM63" s="91">
        <v>11684</v>
      </c>
      <c r="AN63" s="92"/>
      <c r="AO63" s="91">
        <v>10182</v>
      </c>
      <c r="AP63" s="91">
        <v>5263</v>
      </c>
      <c r="AQ63" s="92"/>
      <c r="AR63" s="91">
        <f t="shared" si="7"/>
        <v>27129</v>
      </c>
      <c r="AS63" s="85"/>
      <c r="AT63" s="87">
        <v>152</v>
      </c>
      <c r="AU63" s="85"/>
      <c r="AV63" s="85"/>
      <c r="AW63" s="87">
        <v>17</v>
      </c>
      <c r="AX63" s="85"/>
      <c r="AY63" s="92"/>
      <c r="AZ63" s="85"/>
      <c r="BA63" s="85"/>
      <c r="BB63" s="91">
        <f>6526+4892</f>
        <v>11418</v>
      </c>
      <c r="BC63" s="91">
        <f>363+988+161+198+161</f>
        <v>1871</v>
      </c>
      <c r="BD63" s="101">
        <v>24</v>
      </c>
      <c r="BE63" s="102">
        <v>24</v>
      </c>
      <c r="BF63" s="79"/>
      <c r="BG63" s="79">
        <v>10</v>
      </c>
      <c r="BH63" s="79"/>
      <c r="BI63" s="79">
        <v>14</v>
      </c>
      <c r="BJ63" s="79">
        <v>6</v>
      </c>
      <c r="BK63" s="79">
        <v>5.5</v>
      </c>
      <c r="BL63" s="15"/>
    </row>
    <row r="64" spans="1:64" ht="36" customHeight="1" x14ac:dyDescent="0.3">
      <c r="A64" s="15">
        <v>62</v>
      </c>
      <c r="B64" s="16" t="s">
        <v>830</v>
      </c>
      <c r="C64" s="16" t="s">
        <v>831</v>
      </c>
      <c r="D64" s="15">
        <v>2019</v>
      </c>
      <c r="E64" s="17" t="s">
        <v>573</v>
      </c>
      <c r="F64" s="15" t="s">
        <v>574</v>
      </c>
      <c r="G64" s="19" t="s">
        <v>225</v>
      </c>
      <c r="H64" s="48">
        <v>41840000000</v>
      </c>
      <c r="I64" s="53">
        <v>207</v>
      </c>
      <c r="J64" s="48">
        <v>2425507246.3768115</v>
      </c>
      <c r="K64" s="18" t="s">
        <v>241</v>
      </c>
      <c r="L64" s="15" t="s">
        <v>93</v>
      </c>
      <c r="M64" s="15" t="s">
        <v>107</v>
      </c>
      <c r="N64" s="15" t="s">
        <v>199</v>
      </c>
      <c r="O64" s="15" t="s">
        <v>42</v>
      </c>
      <c r="P64" s="15" t="s">
        <v>6</v>
      </c>
      <c r="Q64" s="70">
        <v>2028.5</v>
      </c>
      <c r="R64" s="70">
        <v>1154.3800000000001</v>
      </c>
      <c r="S64" s="81">
        <v>13368.77</v>
      </c>
      <c r="T64" s="48">
        <v>4</v>
      </c>
      <c r="U64" s="53">
        <v>8</v>
      </c>
      <c r="V64" s="18" t="s">
        <v>18</v>
      </c>
      <c r="W64" s="18" t="s">
        <v>18</v>
      </c>
      <c r="X64" s="18" t="s">
        <v>64</v>
      </c>
      <c r="Y64" s="18" t="s">
        <v>341</v>
      </c>
      <c r="Z64" s="18"/>
      <c r="AA64" s="18"/>
      <c r="AB64" s="18" t="s">
        <v>1056</v>
      </c>
      <c r="AC64" s="18"/>
      <c r="AD64" s="18" t="s">
        <v>664</v>
      </c>
      <c r="AE64" s="18" t="s">
        <v>265</v>
      </c>
      <c r="AF64" s="18"/>
      <c r="AG64" s="85"/>
      <c r="AH64" s="18" t="s">
        <v>264</v>
      </c>
      <c r="AI64" s="85"/>
      <c r="AJ64" s="85"/>
      <c r="AK64" s="85"/>
      <c r="AL64" s="91">
        <f t="shared" si="6"/>
        <v>38520</v>
      </c>
      <c r="AM64" s="91">
        <v>28103</v>
      </c>
      <c r="AN64" s="91">
        <v>10417</v>
      </c>
      <c r="AO64" s="92"/>
      <c r="AP64" s="92"/>
      <c r="AQ64" s="92"/>
      <c r="AR64" s="91">
        <f t="shared" si="7"/>
        <v>38520</v>
      </c>
      <c r="AS64" s="85"/>
      <c r="AT64" s="93" t="s">
        <v>1137</v>
      </c>
      <c r="AU64" s="85"/>
      <c r="AV64" s="93" t="s">
        <v>1138</v>
      </c>
      <c r="AW64" s="87">
        <v>13</v>
      </c>
      <c r="AX64" s="85"/>
      <c r="AY64" s="92"/>
      <c r="AZ64" s="85"/>
      <c r="BA64" s="85"/>
      <c r="BB64" s="91">
        <f>7879+4239+282</f>
        <v>12400</v>
      </c>
      <c r="BC64" s="91">
        <f>146+417+375+13+7</f>
        <v>958</v>
      </c>
      <c r="BD64" s="101">
        <v>27</v>
      </c>
      <c r="BE64" s="102"/>
      <c r="BF64" s="79"/>
      <c r="BG64" s="79">
        <v>8</v>
      </c>
      <c r="BH64" s="79"/>
      <c r="BI64" s="79">
        <v>12</v>
      </c>
      <c r="BJ64" s="79">
        <v>7.5</v>
      </c>
      <c r="BK64" s="79">
        <v>10.5</v>
      </c>
      <c r="BL64" s="15"/>
    </row>
    <row r="65" spans="1:64" ht="36" customHeight="1" x14ac:dyDescent="0.3">
      <c r="A65" s="15">
        <v>63</v>
      </c>
      <c r="B65" s="16" t="s">
        <v>832</v>
      </c>
      <c r="C65" s="16" t="s">
        <v>833</v>
      </c>
      <c r="D65" s="15">
        <v>2019</v>
      </c>
      <c r="E65" s="17" t="s">
        <v>352</v>
      </c>
      <c r="F65" s="15" t="s">
        <v>575</v>
      </c>
      <c r="G65" s="19" t="s">
        <v>225</v>
      </c>
      <c r="H65" s="48">
        <v>32580000000</v>
      </c>
      <c r="I65" s="53">
        <v>172</v>
      </c>
      <c r="J65" s="48">
        <v>2273023255.8139534</v>
      </c>
      <c r="K65" s="18" t="s">
        <v>241</v>
      </c>
      <c r="L65" s="15" t="s">
        <v>93</v>
      </c>
      <c r="M65" s="15" t="s">
        <v>107</v>
      </c>
      <c r="N65" s="15" t="s">
        <v>199</v>
      </c>
      <c r="O65" s="15" t="s">
        <v>42</v>
      </c>
      <c r="P65" s="15" t="s">
        <v>72</v>
      </c>
      <c r="Q65" s="70">
        <v>2316</v>
      </c>
      <c r="R65" s="70">
        <v>1333.96</v>
      </c>
      <c r="S65" s="81">
        <v>23127.56</v>
      </c>
      <c r="T65" s="48">
        <v>5</v>
      </c>
      <c r="U65" s="53">
        <v>12</v>
      </c>
      <c r="V65" s="15" t="s">
        <v>354</v>
      </c>
      <c r="W65" s="18" t="s">
        <v>354</v>
      </c>
      <c r="X65" s="18" t="s">
        <v>9</v>
      </c>
      <c r="Y65" s="18" t="s">
        <v>341</v>
      </c>
      <c r="Z65" s="18"/>
      <c r="AA65" s="18"/>
      <c r="AB65" s="18" t="s">
        <v>20</v>
      </c>
      <c r="AC65" s="18"/>
      <c r="AD65" s="18" t="s">
        <v>353</v>
      </c>
      <c r="AE65" s="18" t="s">
        <v>266</v>
      </c>
      <c r="AF65" s="18"/>
      <c r="AG65" s="85"/>
      <c r="AH65" s="18" t="s">
        <v>264</v>
      </c>
      <c r="AI65" s="85"/>
      <c r="AJ65" s="85"/>
      <c r="AK65" s="85"/>
      <c r="AL65" s="91">
        <f t="shared" si="6"/>
        <v>50926</v>
      </c>
      <c r="AM65" s="91">
        <f>11424+35226</f>
        <v>46650</v>
      </c>
      <c r="AN65" s="92"/>
      <c r="AO65" s="91">
        <v>4276</v>
      </c>
      <c r="AP65" s="92"/>
      <c r="AQ65" s="92"/>
      <c r="AR65" s="91">
        <f t="shared" si="7"/>
        <v>50926</v>
      </c>
      <c r="AS65" s="85"/>
      <c r="AT65" s="87">
        <v>195</v>
      </c>
      <c r="AU65" s="85"/>
      <c r="AV65" s="85"/>
      <c r="AW65" s="85"/>
      <c r="AX65" s="85"/>
      <c r="AY65" s="92"/>
      <c r="AZ65" s="85"/>
      <c r="BA65" s="85"/>
      <c r="BB65" s="91">
        <f>20219</f>
        <v>20219</v>
      </c>
      <c r="BC65" s="92"/>
      <c r="BD65" s="101">
        <v>24</v>
      </c>
      <c r="BE65" s="102"/>
      <c r="BF65" s="79"/>
      <c r="BG65" s="79">
        <f>146/30</f>
        <v>4.8666666666666663</v>
      </c>
      <c r="BH65" s="79"/>
      <c r="BI65" s="79">
        <f>290/30</f>
        <v>9.6666666666666661</v>
      </c>
      <c r="BJ65" s="79">
        <f>100/30</f>
        <v>3.3333333333333335</v>
      </c>
      <c r="BK65" s="79">
        <f>160/30</f>
        <v>5.333333333333333</v>
      </c>
      <c r="BL65" s="15"/>
    </row>
    <row r="66" spans="1:64" ht="36" customHeight="1" x14ac:dyDescent="0.3">
      <c r="A66" s="15">
        <v>64</v>
      </c>
      <c r="B66" s="16" t="s">
        <v>834</v>
      </c>
      <c r="C66" s="16" t="s">
        <v>835</v>
      </c>
      <c r="D66" s="15">
        <v>2020</v>
      </c>
      <c r="E66" s="17" t="s">
        <v>658</v>
      </c>
      <c r="F66" s="15" t="s">
        <v>576</v>
      </c>
      <c r="G66" s="19" t="s">
        <v>225</v>
      </c>
      <c r="H66" s="48">
        <v>43900000000</v>
      </c>
      <c r="I66" s="53">
        <v>176</v>
      </c>
      <c r="J66" s="48">
        <v>2993181818.181818</v>
      </c>
      <c r="K66" s="18" t="s">
        <v>243</v>
      </c>
      <c r="L66" s="15" t="s">
        <v>120</v>
      </c>
      <c r="M66" s="15" t="s">
        <v>121</v>
      </c>
      <c r="N66" s="15" t="s">
        <v>90</v>
      </c>
      <c r="O66" s="15" t="s">
        <v>42</v>
      </c>
      <c r="P66" s="15" t="s">
        <v>7</v>
      </c>
      <c r="Q66" s="70">
        <v>10459.700000000001</v>
      </c>
      <c r="R66" s="70">
        <v>8366.2099999999991</v>
      </c>
      <c r="S66" s="81">
        <v>52932.88</v>
      </c>
      <c r="T66" s="48">
        <v>1</v>
      </c>
      <c r="U66" s="53">
        <v>10</v>
      </c>
      <c r="V66" s="15" t="s">
        <v>24</v>
      </c>
      <c r="W66" s="18" t="s">
        <v>24</v>
      </c>
      <c r="X66" s="18" t="s">
        <v>9</v>
      </c>
      <c r="Y66" s="18" t="s">
        <v>62</v>
      </c>
      <c r="Z66" s="18"/>
      <c r="AA66" s="18"/>
      <c r="AB66" s="18"/>
      <c r="AC66" s="18"/>
      <c r="AD66" s="18" t="s">
        <v>267</v>
      </c>
      <c r="AE66" s="18"/>
      <c r="AF66" s="18"/>
      <c r="AG66" s="85"/>
      <c r="AH66" s="18" t="s">
        <v>264</v>
      </c>
      <c r="AI66" s="85"/>
      <c r="AJ66" s="85"/>
      <c r="AK66" s="85"/>
      <c r="AL66" s="91">
        <f t="shared" si="6"/>
        <v>22251</v>
      </c>
      <c r="AM66" s="92"/>
      <c r="AN66" s="91">
        <v>6820</v>
      </c>
      <c r="AO66" s="91">
        <f>4662+43</f>
        <v>4705</v>
      </c>
      <c r="AP66" s="91">
        <v>10726</v>
      </c>
      <c r="AQ66" s="92"/>
      <c r="AR66" s="91">
        <f t="shared" si="7"/>
        <v>22251</v>
      </c>
      <c r="AS66" s="85"/>
      <c r="AT66" s="85"/>
      <c r="AU66" s="85"/>
      <c r="AV66" s="85"/>
      <c r="AW66" s="85"/>
      <c r="AX66" s="85"/>
      <c r="AY66" s="92"/>
      <c r="AZ66" s="85"/>
      <c r="BA66" s="87">
        <v>10873</v>
      </c>
      <c r="BB66" s="91">
        <f>21798+2928+4284</f>
        <v>29010</v>
      </c>
      <c r="BC66" s="91">
        <f>485.472+110.155+194.976+199.459+2.744+1.455+7.84</f>
        <v>1002.101</v>
      </c>
      <c r="BD66" s="101">
        <v>16</v>
      </c>
      <c r="BE66" s="102"/>
      <c r="BF66" s="79"/>
      <c r="BG66" s="79">
        <v>3</v>
      </c>
      <c r="BH66" s="79">
        <v>5.5</v>
      </c>
      <c r="BI66" s="79">
        <v>6</v>
      </c>
      <c r="BJ66" s="79">
        <v>3.5</v>
      </c>
      <c r="BK66" s="79">
        <v>6</v>
      </c>
      <c r="BL66" s="15"/>
    </row>
    <row r="67" spans="1:64" ht="36" customHeight="1" x14ac:dyDescent="0.3">
      <c r="A67" s="31">
        <v>65</v>
      </c>
      <c r="B67" s="32" t="s">
        <v>836</v>
      </c>
      <c r="C67" s="32" t="s">
        <v>837</v>
      </c>
      <c r="D67" s="31">
        <v>2020</v>
      </c>
      <c r="E67" s="33" t="s">
        <v>46</v>
      </c>
      <c r="F67" s="31" t="s">
        <v>525</v>
      </c>
      <c r="G67" s="33" t="s">
        <v>225</v>
      </c>
      <c r="H67" s="51">
        <v>13667000000</v>
      </c>
      <c r="I67" s="56">
        <v>71</v>
      </c>
      <c r="J67" s="51">
        <v>2309915492.9577465</v>
      </c>
      <c r="K67" s="34" t="s">
        <v>241</v>
      </c>
      <c r="L67" s="31" t="s">
        <v>93</v>
      </c>
      <c r="M67" s="31" t="s">
        <v>122</v>
      </c>
      <c r="N67" s="31" t="s">
        <v>199</v>
      </c>
      <c r="O67" s="31" t="s">
        <v>5</v>
      </c>
      <c r="P67" s="31" t="s">
        <v>4</v>
      </c>
      <c r="Q67" s="73">
        <v>1725.6</v>
      </c>
      <c r="R67" s="73">
        <v>597.55999999999995</v>
      </c>
      <c r="S67" s="73">
        <v>10122.99</v>
      </c>
      <c r="T67" s="51">
        <v>4</v>
      </c>
      <c r="U67" s="56">
        <v>10</v>
      </c>
      <c r="V67" s="31" t="s">
        <v>18</v>
      </c>
      <c r="W67" s="34" t="s">
        <v>18</v>
      </c>
      <c r="X67" s="34"/>
      <c r="Y67" s="34"/>
      <c r="Z67" s="34"/>
      <c r="AA67" s="34"/>
      <c r="AB67" s="34"/>
      <c r="AC67" s="34"/>
      <c r="AD67" s="34" t="s">
        <v>267</v>
      </c>
      <c r="AE67" s="34" t="s">
        <v>265</v>
      </c>
      <c r="AF67" s="34"/>
      <c r="AG67" s="88"/>
      <c r="AH67" s="34" t="s">
        <v>285</v>
      </c>
      <c r="AI67" s="88"/>
      <c r="AJ67" s="88"/>
      <c r="AK67" s="88"/>
      <c r="AL67" s="98"/>
      <c r="AM67" s="98"/>
      <c r="AN67" s="98"/>
      <c r="AO67" s="98"/>
      <c r="AP67" s="98"/>
      <c r="AQ67" s="98"/>
      <c r="AR67" s="98">
        <f t="shared" si="7"/>
        <v>0</v>
      </c>
      <c r="AS67" s="88"/>
      <c r="AT67" s="88"/>
      <c r="AU67" s="88"/>
      <c r="AV67" s="85"/>
      <c r="AW67" s="88"/>
      <c r="AX67" s="88"/>
      <c r="AY67" s="98"/>
      <c r="AZ67" s="88"/>
      <c r="BA67" s="88"/>
      <c r="BB67" s="91">
        <f>87+24+5+3</f>
        <v>119</v>
      </c>
      <c r="BC67" s="91">
        <f>56+1+1</f>
        <v>58</v>
      </c>
      <c r="BD67" s="108">
        <v>8</v>
      </c>
      <c r="BE67" s="109">
        <v>8</v>
      </c>
      <c r="BF67" s="68">
        <v>2.2000000000000002</v>
      </c>
      <c r="BG67" s="68"/>
      <c r="BH67" s="68"/>
      <c r="BI67" s="68">
        <v>4</v>
      </c>
      <c r="BJ67" s="68">
        <v>4</v>
      </c>
      <c r="BK67" s="68">
        <v>6</v>
      </c>
      <c r="BL67" s="31" t="s">
        <v>47</v>
      </c>
    </row>
    <row r="68" spans="1:64" ht="36" customHeight="1" x14ac:dyDescent="0.3">
      <c r="A68" s="15">
        <v>66</v>
      </c>
      <c r="B68" s="16" t="s">
        <v>838</v>
      </c>
      <c r="C68" s="16" t="s">
        <v>839</v>
      </c>
      <c r="D68" s="15">
        <v>2020</v>
      </c>
      <c r="E68" s="17" t="s">
        <v>355</v>
      </c>
      <c r="F68" s="15" t="s">
        <v>577</v>
      </c>
      <c r="G68" s="19" t="s">
        <v>225</v>
      </c>
      <c r="H68" s="48">
        <v>16520000000</v>
      </c>
      <c r="I68" s="53">
        <v>87</v>
      </c>
      <c r="J68" s="48">
        <v>2278620689.6551723</v>
      </c>
      <c r="K68" s="18" t="s">
        <v>241</v>
      </c>
      <c r="L68" s="15" t="s">
        <v>144</v>
      </c>
      <c r="M68" s="15" t="s">
        <v>145</v>
      </c>
      <c r="N68" s="15" t="s">
        <v>90</v>
      </c>
      <c r="O68" s="15" t="s">
        <v>5</v>
      </c>
      <c r="P68" s="15" t="s">
        <v>620</v>
      </c>
      <c r="Q68" s="70">
        <v>996688</v>
      </c>
      <c r="R68" s="70"/>
      <c r="S68" s="81">
        <v>5039.62</v>
      </c>
      <c r="T68" s="48">
        <v>1</v>
      </c>
      <c r="U68" s="53">
        <v>2</v>
      </c>
      <c r="V68" s="15" t="s">
        <v>354</v>
      </c>
      <c r="W68" s="18" t="s">
        <v>350</v>
      </c>
      <c r="X68" s="18" t="s">
        <v>9</v>
      </c>
      <c r="Y68" s="18"/>
      <c r="Z68" s="18"/>
      <c r="AA68" s="18"/>
      <c r="AB68" s="18"/>
      <c r="AC68" s="18"/>
      <c r="AD68" s="18" t="s">
        <v>1211</v>
      </c>
      <c r="AE68" s="18" t="s">
        <v>659</v>
      </c>
      <c r="AF68" s="18"/>
      <c r="AG68" s="85"/>
      <c r="AH68" s="18" t="s">
        <v>285</v>
      </c>
      <c r="AI68" s="85"/>
      <c r="AJ68" s="85"/>
      <c r="AK68" s="85"/>
      <c r="AL68" s="91">
        <f t="shared" ref="AL68:AL82" si="8">SUM(AM68:AQ68)</f>
        <v>8777</v>
      </c>
      <c r="AM68" s="92"/>
      <c r="AN68" s="91">
        <v>8777</v>
      </c>
      <c r="AO68" s="92"/>
      <c r="AP68" s="92"/>
      <c r="AQ68" s="92"/>
      <c r="AR68" s="91">
        <f t="shared" si="7"/>
        <v>8777</v>
      </c>
      <c r="AS68" s="85"/>
      <c r="AT68" s="85"/>
      <c r="AU68" s="85"/>
      <c r="AV68" s="85"/>
      <c r="AW68" s="85"/>
      <c r="AX68" s="85"/>
      <c r="AY68" s="92"/>
      <c r="AZ68" s="85"/>
      <c r="BA68" s="85"/>
      <c r="BB68" s="91">
        <f>4984+3</f>
        <v>4987</v>
      </c>
      <c r="BC68" s="91">
        <f>417.045+14.532</f>
        <v>431.577</v>
      </c>
      <c r="BD68" s="101">
        <v>11</v>
      </c>
      <c r="BE68" s="102"/>
      <c r="BF68" s="79"/>
      <c r="BG68" s="79"/>
      <c r="BH68" s="79"/>
      <c r="BI68" s="79">
        <f>72/30</f>
        <v>2.4</v>
      </c>
      <c r="BJ68" s="79">
        <v>3.9333333333333331</v>
      </c>
      <c r="BK68" s="79">
        <f>157/30</f>
        <v>5.2333333333333334</v>
      </c>
      <c r="BL68" s="15"/>
    </row>
    <row r="69" spans="1:64" ht="36" customHeight="1" x14ac:dyDescent="0.3">
      <c r="A69" s="15">
        <v>67</v>
      </c>
      <c r="B69" s="16" t="s">
        <v>840</v>
      </c>
      <c r="C69" s="16" t="s">
        <v>841</v>
      </c>
      <c r="D69" s="15">
        <v>2020</v>
      </c>
      <c r="E69" s="17" t="s">
        <v>357</v>
      </c>
      <c r="F69" s="15" t="s">
        <v>578</v>
      </c>
      <c r="G69" s="19" t="s">
        <v>225</v>
      </c>
      <c r="H69" s="48">
        <v>18900000000</v>
      </c>
      <c r="I69" s="53">
        <v>116</v>
      </c>
      <c r="J69" s="48">
        <v>1955172413.7931032</v>
      </c>
      <c r="K69" s="18" t="s">
        <v>241</v>
      </c>
      <c r="L69" s="15" t="s">
        <v>109</v>
      </c>
      <c r="M69" s="15" t="s">
        <v>146</v>
      </c>
      <c r="N69" s="15" t="s">
        <v>90</v>
      </c>
      <c r="O69" s="15" t="s">
        <v>42</v>
      </c>
      <c r="P69" s="15" t="s">
        <v>14</v>
      </c>
      <c r="Q69" s="70">
        <v>9950</v>
      </c>
      <c r="R69" s="70">
        <v>2577.67</v>
      </c>
      <c r="S69" s="81">
        <v>7079.56</v>
      </c>
      <c r="T69" s="48">
        <v>1</v>
      </c>
      <c r="U69" s="53">
        <v>3</v>
      </c>
      <c r="V69" s="15" t="s">
        <v>18</v>
      </c>
      <c r="W69" s="18" t="s">
        <v>1050</v>
      </c>
      <c r="X69" s="18" t="s">
        <v>9</v>
      </c>
      <c r="Y69" s="18" t="s">
        <v>62</v>
      </c>
      <c r="Z69" s="18"/>
      <c r="AA69" s="18"/>
      <c r="AB69" s="18" t="s">
        <v>33</v>
      </c>
      <c r="AC69" s="18"/>
      <c r="AD69" s="18" t="s">
        <v>360</v>
      </c>
      <c r="AE69" s="18" t="s">
        <v>265</v>
      </c>
      <c r="AF69" s="18"/>
      <c r="AG69" s="85"/>
      <c r="AH69" s="18" t="s">
        <v>285</v>
      </c>
      <c r="AI69" s="85"/>
      <c r="AJ69" s="85"/>
      <c r="AK69" s="85"/>
      <c r="AL69" s="91">
        <f t="shared" si="8"/>
        <v>29216</v>
      </c>
      <c r="AM69" s="91">
        <f>20886+3427+336+2996+1571</f>
        <v>29216</v>
      </c>
      <c r="AN69" s="92"/>
      <c r="AO69" s="92"/>
      <c r="AP69" s="92"/>
      <c r="AQ69" s="92"/>
      <c r="AR69" s="91">
        <f t="shared" si="7"/>
        <v>29216</v>
      </c>
      <c r="AS69" s="85"/>
      <c r="AT69" s="85"/>
      <c r="AU69" s="85"/>
      <c r="AV69" s="85"/>
      <c r="AW69" s="85"/>
      <c r="AX69" s="85"/>
      <c r="AY69" s="92"/>
      <c r="AZ69" s="85"/>
      <c r="BA69" s="85"/>
      <c r="BB69" s="91">
        <f>398+164+4838</f>
        <v>5400</v>
      </c>
      <c r="BC69" s="91">
        <v>549.76199999999994</v>
      </c>
      <c r="BD69" s="101">
        <v>14</v>
      </c>
      <c r="BE69" s="102">
        <v>14</v>
      </c>
      <c r="BF69" s="79"/>
      <c r="BG69" s="79">
        <v>2</v>
      </c>
      <c r="BH69" s="79"/>
      <c r="BI69" s="79">
        <v>5</v>
      </c>
      <c r="BJ69" s="79">
        <v>3</v>
      </c>
      <c r="BK69" s="79">
        <v>3</v>
      </c>
      <c r="BL69" s="15"/>
    </row>
    <row r="70" spans="1:64" ht="36" customHeight="1" x14ac:dyDescent="0.3">
      <c r="A70" s="15">
        <v>68</v>
      </c>
      <c r="B70" s="16" t="s">
        <v>842</v>
      </c>
      <c r="C70" s="16" t="s">
        <v>843</v>
      </c>
      <c r="D70" s="15">
        <v>2020</v>
      </c>
      <c r="E70" s="17" t="s">
        <v>526</v>
      </c>
      <c r="F70" s="15" t="s">
        <v>527</v>
      </c>
      <c r="G70" s="19" t="s">
        <v>225</v>
      </c>
      <c r="H70" s="48">
        <v>11480000000</v>
      </c>
      <c r="I70" s="53">
        <v>102</v>
      </c>
      <c r="J70" s="48">
        <v>1350588235.2941175</v>
      </c>
      <c r="K70" s="18" t="s">
        <v>241</v>
      </c>
      <c r="L70" s="15" t="s">
        <v>129</v>
      </c>
      <c r="M70" s="15" t="s">
        <v>147</v>
      </c>
      <c r="N70" s="15" t="s">
        <v>90</v>
      </c>
      <c r="O70" s="15" t="s">
        <v>42</v>
      </c>
      <c r="P70" s="15" t="s">
        <v>697</v>
      </c>
      <c r="Q70" s="70">
        <v>176107.4</v>
      </c>
      <c r="R70" s="70">
        <v>3161.6</v>
      </c>
      <c r="S70" s="81">
        <v>4079.84</v>
      </c>
      <c r="T70" s="48">
        <v>1</v>
      </c>
      <c r="U70" s="53">
        <v>2</v>
      </c>
      <c r="V70" s="15" t="s">
        <v>16</v>
      </c>
      <c r="W70" s="18" t="s">
        <v>16</v>
      </c>
      <c r="X70" s="18" t="s">
        <v>9</v>
      </c>
      <c r="Y70" s="18" t="s">
        <v>61</v>
      </c>
      <c r="Z70" s="18"/>
      <c r="AA70" s="18"/>
      <c r="AB70" s="18" t="s">
        <v>74</v>
      </c>
      <c r="AC70" s="18"/>
      <c r="AD70" s="18" t="s">
        <v>1094</v>
      </c>
      <c r="AE70" s="18" t="s">
        <v>338</v>
      </c>
      <c r="AF70" s="18"/>
      <c r="AG70" s="85"/>
      <c r="AH70" s="18" t="s">
        <v>285</v>
      </c>
      <c r="AI70" s="85"/>
      <c r="AJ70" s="85"/>
      <c r="AK70" s="85"/>
      <c r="AL70" s="91">
        <f t="shared" si="8"/>
        <v>11378</v>
      </c>
      <c r="AM70" s="91">
        <v>11378</v>
      </c>
      <c r="AN70" s="92"/>
      <c r="AO70" s="92"/>
      <c r="AP70" s="92"/>
      <c r="AQ70" s="92"/>
      <c r="AR70" s="91">
        <f t="shared" si="7"/>
        <v>11378</v>
      </c>
      <c r="AS70" s="85"/>
      <c r="AT70" s="85"/>
      <c r="AU70" s="85"/>
      <c r="AV70" s="85"/>
      <c r="AW70" s="85"/>
      <c r="AX70" s="85"/>
      <c r="AY70" s="91">
        <v>253</v>
      </c>
      <c r="AZ70" s="85"/>
      <c r="BA70" s="85"/>
      <c r="BB70" s="91">
        <v>2069</v>
      </c>
      <c r="BC70" s="92"/>
      <c r="BD70" s="101">
        <v>11</v>
      </c>
      <c r="BE70" s="102">
        <v>11</v>
      </c>
      <c r="BF70" s="79"/>
      <c r="BG70" s="79">
        <v>2</v>
      </c>
      <c r="BH70" s="79"/>
      <c r="BI70" s="79">
        <v>5</v>
      </c>
      <c r="BJ70" s="79">
        <v>2.5</v>
      </c>
      <c r="BK70" s="79">
        <v>2.5</v>
      </c>
      <c r="BL70" s="15"/>
    </row>
    <row r="71" spans="1:64" s="35" customFormat="1" ht="36" customHeight="1" x14ac:dyDescent="0.3">
      <c r="A71" s="15">
        <v>69</v>
      </c>
      <c r="B71" s="16" t="s">
        <v>848</v>
      </c>
      <c r="C71" s="16" t="s">
        <v>849</v>
      </c>
      <c r="D71" s="15">
        <v>2020</v>
      </c>
      <c r="E71" s="17" t="s">
        <v>356</v>
      </c>
      <c r="F71" s="15" t="s">
        <v>579</v>
      </c>
      <c r="G71" s="19" t="s">
        <v>225</v>
      </c>
      <c r="H71" s="48">
        <v>43850000000</v>
      </c>
      <c r="I71" s="53">
        <v>247</v>
      </c>
      <c r="J71" s="48">
        <v>2130364372.4696355</v>
      </c>
      <c r="K71" s="18" t="s">
        <v>241</v>
      </c>
      <c r="L71" s="15" t="s">
        <v>93</v>
      </c>
      <c r="M71" s="15" t="s">
        <v>148</v>
      </c>
      <c r="N71" s="15" t="s">
        <v>90</v>
      </c>
      <c r="O71" s="15" t="s">
        <v>42</v>
      </c>
      <c r="P71" s="15" t="s">
        <v>4</v>
      </c>
      <c r="Q71" s="70">
        <v>3092</v>
      </c>
      <c r="R71" s="70">
        <v>972.63</v>
      </c>
      <c r="S71" s="81">
        <v>21846.83</v>
      </c>
      <c r="T71" s="48">
        <v>5</v>
      </c>
      <c r="U71" s="53">
        <v>20</v>
      </c>
      <c r="V71" s="15" t="s">
        <v>18</v>
      </c>
      <c r="W71" s="18" t="s">
        <v>16</v>
      </c>
      <c r="X71" s="18" t="s">
        <v>64</v>
      </c>
      <c r="Y71" s="18" t="s">
        <v>62</v>
      </c>
      <c r="Z71" s="18" t="s">
        <v>1074</v>
      </c>
      <c r="AA71" s="18"/>
      <c r="AB71" s="18" t="s">
        <v>1056</v>
      </c>
      <c r="AC71" s="18"/>
      <c r="AD71" s="18" t="s">
        <v>1211</v>
      </c>
      <c r="AE71" s="18" t="s">
        <v>265</v>
      </c>
      <c r="AF71" s="18"/>
      <c r="AG71" s="85"/>
      <c r="AH71" s="18" t="s">
        <v>349</v>
      </c>
      <c r="AI71" s="85"/>
      <c r="AJ71" s="85"/>
      <c r="AK71" s="85"/>
      <c r="AL71" s="91">
        <f t="shared" si="8"/>
        <v>42655</v>
      </c>
      <c r="AM71" s="91">
        <f>38755+3900</f>
        <v>42655</v>
      </c>
      <c r="AN71" s="92"/>
      <c r="AO71" s="92"/>
      <c r="AP71" s="92"/>
      <c r="AQ71" s="92"/>
      <c r="AR71" s="91">
        <f t="shared" si="7"/>
        <v>42655</v>
      </c>
      <c r="AS71" s="85"/>
      <c r="AT71" s="87">
        <v>134</v>
      </c>
      <c r="AU71" s="85"/>
      <c r="AV71" s="85"/>
      <c r="AW71" s="85"/>
      <c r="AX71" s="85"/>
      <c r="AY71" s="92"/>
      <c r="AZ71" s="85"/>
      <c r="BA71" s="85"/>
      <c r="BB71" s="91">
        <f>11106+7287</f>
        <v>18393</v>
      </c>
      <c r="BC71" s="91">
        <f>17.453+205.345</f>
        <v>222.798</v>
      </c>
      <c r="BD71" s="101">
        <v>30</v>
      </c>
      <c r="BE71" s="102"/>
      <c r="BF71" s="79"/>
      <c r="BG71" s="79"/>
      <c r="BH71" s="79"/>
      <c r="BI71" s="79"/>
      <c r="BJ71" s="79"/>
      <c r="BK71" s="79"/>
      <c r="BL71" s="15"/>
    </row>
    <row r="72" spans="1:64" ht="36" customHeight="1" x14ac:dyDescent="0.3">
      <c r="A72" s="15">
        <v>70</v>
      </c>
      <c r="B72" s="16" t="s">
        <v>846</v>
      </c>
      <c r="C72" s="16" t="s">
        <v>847</v>
      </c>
      <c r="D72" s="15">
        <v>2020</v>
      </c>
      <c r="E72" s="17" t="s">
        <v>358</v>
      </c>
      <c r="F72" s="15" t="s">
        <v>580</v>
      </c>
      <c r="G72" s="19" t="s">
        <v>225</v>
      </c>
      <c r="H72" s="48">
        <v>45403000000</v>
      </c>
      <c r="I72" s="53">
        <v>188</v>
      </c>
      <c r="J72" s="48">
        <v>2898063829.7872343</v>
      </c>
      <c r="K72" s="18" t="s">
        <v>243</v>
      </c>
      <c r="L72" s="15" t="s">
        <v>97</v>
      </c>
      <c r="M72" s="15" t="s">
        <v>149</v>
      </c>
      <c r="N72" s="15" t="s">
        <v>90</v>
      </c>
      <c r="O72" s="15" t="s">
        <v>42</v>
      </c>
      <c r="P72" s="15" t="s">
        <v>620</v>
      </c>
      <c r="Q72" s="70">
        <v>1625326</v>
      </c>
      <c r="R72" s="70"/>
      <c r="S72" s="81">
        <v>7038</v>
      </c>
      <c r="T72" s="48">
        <v>0</v>
      </c>
      <c r="U72" s="53">
        <v>0</v>
      </c>
      <c r="V72" s="15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85"/>
      <c r="AH72" s="18"/>
      <c r="AI72" s="85"/>
      <c r="AJ72" s="85"/>
      <c r="AK72" s="85"/>
      <c r="AL72" s="91">
        <f t="shared" si="8"/>
        <v>591503</v>
      </c>
      <c r="AM72" s="91">
        <f>540699+4653</f>
        <v>545352</v>
      </c>
      <c r="AN72" s="92"/>
      <c r="AO72" s="92"/>
      <c r="AP72" s="91">
        <f>29990+1833</f>
        <v>31823</v>
      </c>
      <c r="AQ72" s="91">
        <f>11361+667+2300</f>
        <v>14328</v>
      </c>
      <c r="AR72" s="91">
        <f t="shared" si="7"/>
        <v>591503</v>
      </c>
      <c r="AS72" s="85"/>
      <c r="AT72" s="85"/>
      <c r="AU72" s="85"/>
      <c r="AV72" s="85"/>
      <c r="AW72" s="85"/>
      <c r="AX72" s="85"/>
      <c r="AY72" s="92"/>
      <c r="AZ72" s="85"/>
      <c r="BA72" s="85"/>
      <c r="BB72" s="91">
        <f>296+79</f>
        <v>375</v>
      </c>
      <c r="BC72" s="92"/>
      <c r="BD72" s="101">
        <v>17</v>
      </c>
      <c r="BE72" s="102"/>
      <c r="BF72" s="79"/>
      <c r="BG72" s="79"/>
      <c r="BH72" s="79"/>
      <c r="BI72" s="79"/>
      <c r="BJ72" s="79"/>
      <c r="BK72" s="79"/>
      <c r="BL72" s="15"/>
    </row>
    <row r="73" spans="1:64" ht="36" customHeight="1" x14ac:dyDescent="0.3">
      <c r="A73" s="15">
        <v>71</v>
      </c>
      <c r="B73" s="16" t="s">
        <v>844</v>
      </c>
      <c r="C73" s="16" t="s">
        <v>845</v>
      </c>
      <c r="D73" s="15">
        <v>2020</v>
      </c>
      <c r="E73" s="17" t="s">
        <v>671</v>
      </c>
      <c r="F73" s="15" t="s">
        <v>581</v>
      </c>
      <c r="G73" s="19" t="s">
        <v>225</v>
      </c>
      <c r="H73" s="48">
        <v>35980000000</v>
      </c>
      <c r="I73" s="53">
        <v>172</v>
      </c>
      <c r="J73" s="48">
        <v>2510232558.139535</v>
      </c>
      <c r="K73" s="18" t="s">
        <v>241</v>
      </c>
      <c r="L73" s="15" t="s">
        <v>93</v>
      </c>
      <c r="M73" s="15" t="s">
        <v>148</v>
      </c>
      <c r="N73" s="15" t="s">
        <v>90</v>
      </c>
      <c r="O73" s="15" t="s">
        <v>42</v>
      </c>
      <c r="P73" s="15" t="s">
        <v>4</v>
      </c>
      <c r="Q73" s="70">
        <v>2260</v>
      </c>
      <c r="R73" s="70">
        <v>1094.1099999999999</v>
      </c>
      <c r="S73" s="81">
        <v>19665.560000000001</v>
      </c>
      <c r="T73" s="48">
        <v>6</v>
      </c>
      <c r="U73" s="53">
        <v>10</v>
      </c>
      <c r="V73" s="15" t="s">
        <v>18</v>
      </c>
      <c r="W73" s="18" t="s">
        <v>18</v>
      </c>
      <c r="X73" s="18" t="s">
        <v>359</v>
      </c>
      <c r="Y73" s="18" t="s">
        <v>62</v>
      </c>
      <c r="Z73" s="18" t="s">
        <v>1074</v>
      </c>
      <c r="AA73" s="18"/>
      <c r="AB73" s="18" t="s">
        <v>1056</v>
      </c>
      <c r="AC73" s="18"/>
      <c r="AD73" s="18" t="s">
        <v>360</v>
      </c>
      <c r="AE73" s="18" t="s">
        <v>265</v>
      </c>
      <c r="AF73" s="18"/>
      <c r="AG73" s="85"/>
      <c r="AH73" s="18" t="s">
        <v>349</v>
      </c>
      <c r="AI73" s="85"/>
      <c r="AJ73" s="85"/>
      <c r="AK73" s="85"/>
      <c r="AL73" s="91">
        <f t="shared" si="8"/>
        <v>55056.631999999998</v>
      </c>
      <c r="AM73" s="91">
        <v>35913.839999999997</v>
      </c>
      <c r="AN73" s="92"/>
      <c r="AO73" s="91">
        <v>16656.89</v>
      </c>
      <c r="AP73" s="91">
        <v>2485.902</v>
      </c>
      <c r="AQ73" s="92"/>
      <c r="AR73" s="91">
        <f t="shared" si="7"/>
        <v>55056.631999999998</v>
      </c>
      <c r="AS73" s="85"/>
      <c r="AT73" s="87">
        <v>173</v>
      </c>
      <c r="AU73" s="85"/>
      <c r="AV73" s="85"/>
      <c r="AW73" s="87">
        <v>20</v>
      </c>
      <c r="AX73" s="85"/>
      <c r="AY73" s="92"/>
      <c r="AZ73" s="85"/>
      <c r="BA73" s="85"/>
      <c r="BB73" s="91">
        <f>9893+3470</f>
        <v>13363</v>
      </c>
      <c r="BC73" s="91">
        <f>95.16+431.641+649.805+37.88+169.42+793.195</f>
        <v>2177.1010000000001</v>
      </c>
      <c r="BD73" s="101">
        <v>20</v>
      </c>
      <c r="BE73" s="102"/>
      <c r="BF73" s="79"/>
      <c r="BG73" s="79">
        <v>9</v>
      </c>
      <c r="BH73" s="79"/>
      <c r="BI73" s="79">
        <v>10</v>
      </c>
      <c r="BJ73" s="79">
        <v>6</v>
      </c>
      <c r="BK73" s="79">
        <v>6.5</v>
      </c>
      <c r="BL73" s="15"/>
    </row>
    <row r="74" spans="1:64" ht="36" customHeight="1" x14ac:dyDescent="0.3">
      <c r="A74" s="15">
        <v>72</v>
      </c>
      <c r="B74" s="16" t="s">
        <v>850</v>
      </c>
      <c r="C74" s="16" t="s">
        <v>851</v>
      </c>
      <c r="D74" s="15">
        <v>2020</v>
      </c>
      <c r="E74" s="17" t="s">
        <v>672</v>
      </c>
      <c r="F74" s="15" t="s">
        <v>582</v>
      </c>
      <c r="G74" s="19" t="s">
        <v>225</v>
      </c>
      <c r="H74" s="48">
        <v>56000000000</v>
      </c>
      <c r="I74" s="53">
        <v>325</v>
      </c>
      <c r="J74" s="48">
        <v>2067692307.6923079</v>
      </c>
      <c r="K74" s="18" t="s">
        <v>241</v>
      </c>
      <c r="L74" s="15" t="s">
        <v>150</v>
      </c>
      <c r="M74" s="15" t="s">
        <v>151</v>
      </c>
      <c r="N74" s="15" t="s">
        <v>90</v>
      </c>
      <c r="O74" s="15" t="s">
        <v>42</v>
      </c>
      <c r="P74" s="15" t="s">
        <v>695</v>
      </c>
      <c r="Q74" s="70">
        <v>210379.6</v>
      </c>
      <c r="R74" s="70">
        <v>45508.19</v>
      </c>
      <c r="S74" s="81">
        <v>64265.95</v>
      </c>
      <c r="T74" s="48">
        <v>0</v>
      </c>
      <c r="U74" s="53">
        <v>1</v>
      </c>
      <c r="V74" s="15"/>
      <c r="W74" s="18" t="s">
        <v>1050</v>
      </c>
      <c r="X74" s="18" t="s">
        <v>9</v>
      </c>
      <c r="Y74" s="18"/>
      <c r="Z74" s="18"/>
      <c r="AA74" s="18"/>
      <c r="AB74" s="18"/>
      <c r="AC74" s="18"/>
      <c r="AD74" s="18"/>
      <c r="AE74" s="18"/>
      <c r="AF74" s="18"/>
      <c r="AG74" s="85"/>
      <c r="AH74" s="18"/>
      <c r="AI74" s="85"/>
      <c r="AJ74" s="85"/>
      <c r="AK74" s="85"/>
      <c r="AL74" s="91">
        <f t="shared" si="8"/>
        <v>137670</v>
      </c>
      <c r="AM74" s="91">
        <f>14094+12956+13592+21234+29220+11884+10691+8669+6209+9121</f>
        <v>137670</v>
      </c>
      <c r="AN74" s="92"/>
      <c r="AO74" s="92"/>
      <c r="AP74" s="92"/>
      <c r="AQ74" s="92"/>
      <c r="AR74" s="91">
        <f t="shared" si="7"/>
        <v>137670</v>
      </c>
      <c r="AS74" s="85"/>
      <c r="AT74" s="85"/>
      <c r="AU74" s="85"/>
      <c r="AV74" s="85"/>
      <c r="AW74" s="85"/>
      <c r="AX74" s="85"/>
      <c r="AY74" s="92"/>
      <c r="AZ74" s="85"/>
      <c r="BA74" s="85"/>
      <c r="BB74" s="91">
        <f>4075+2899+3225+3099+4839</f>
        <v>18137</v>
      </c>
      <c r="BC74" s="91">
        <f>1404+908+964</f>
        <v>3276</v>
      </c>
      <c r="BD74" s="101">
        <v>27</v>
      </c>
      <c r="BE74" s="102"/>
      <c r="BF74" s="79"/>
      <c r="BG74" s="79"/>
      <c r="BH74" s="79"/>
      <c r="BI74" s="79"/>
      <c r="BJ74" s="79"/>
      <c r="BK74" s="79"/>
      <c r="BL74" s="15"/>
    </row>
    <row r="75" spans="1:64" ht="36" customHeight="1" x14ac:dyDescent="0.3">
      <c r="A75" s="15">
        <v>73</v>
      </c>
      <c r="B75" s="16" t="s">
        <v>852</v>
      </c>
      <c r="C75" s="16" t="s">
        <v>853</v>
      </c>
      <c r="D75" s="15">
        <v>2020</v>
      </c>
      <c r="E75" s="17" t="s">
        <v>361</v>
      </c>
      <c r="F75" s="15" t="s">
        <v>583</v>
      </c>
      <c r="G75" s="19" t="s">
        <v>225</v>
      </c>
      <c r="H75" s="48">
        <v>49312000000</v>
      </c>
      <c r="I75" s="53">
        <v>218</v>
      </c>
      <c r="J75" s="48">
        <v>2714422018.3486242</v>
      </c>
      <c r="K75" s="18" t="s">
        <v>241</v>
      </c>
      <c r="L75" s="15" t="s">
        <v>116</v>
      </c>
      <c r="M75" s="15" t="s">
        <v>152</v>
      </c>
      <c r="N75" s="15" t="s">
        <v>90</v>
      </c>
      <c r="O75" s="15" t="s">
        <v>42</v>
      </c>
      <c r="P75" s="18" t="s">
        <v>622</v>
      </c>
      <c r="Q75" s="70">
        <v>36308</v>
      </c>
      <c r="R75" s="70">
        <v>9320.6299999999992</v>
      </c>
      <c r="S75" s="81">
        <v>21060.560000000001</v>
      </c>
      <c r="T75" s="48">
        <v>1</v>
      </c>
      <c r="U75" s="53">
        <v>4</v>
      </c>
      <c r="V75" s="15"/>
      <c r="W75" s="18" t="s">
        <v>1050</v>
      </c>
      <c r="X75" s="18" t="s">
        <v>9</v>
      </c>
      <c r="Y75" s="20" t="s">
        <v>62</v>
      </c>
      <c r="Z75" s="18"/>
      <c r="AA75" s="18"/>
      <c r="AB75" s="20" t="s">
        <v>1196</v>
      </c>
      <c r="AC75" s="18"/>
      <c r="AD75" s="18"/>
      <c r="AE75" s="18"/>
      <c r="AF75" s="18"/>
      <c r="AG75" s="85"/>
      <c r="AH75" s="18" t="s">
        <v>349</v>
      </c>
      <c r="AI75" s="85"/>
      <c r="AJ75" s="85"/>
      <c r="AK75" s="85"/>
      <c r="AL75" s="91">
        <f t="shared" si="8"/>
        <v>76258</v>
      </c>
      <c r="AM75" s="91">
        <v>76258</v>
      </c>
      <c r="AN75" s="92"/>
      <c r="AO75" s="92"/>
      <c r="AP75" s="92"/>
      <c r="AQ75" s="92"/>
      <c r="AR75" s="91">
        <f t="shared" si="7"/>
        <v>76258</v>
      </c>
      <c r="AS75" s="85"/>
      <c r="AT75" s="85"/>
      <c r="AU75" s="85"/>
      <c r="AV75" s="85"/>
      <c r="AW75" s="85"/>
      <c r="AX75" s="85"/>
      <c r="AY75" s="92"/>
      <c r="AZ75" s="85"/>
      <c r="BA75" s="85"/>
      <c r="BB75" s="91">
        <f>12481+562</f>
        <v>13043</v>
      </c>
      <c r="BC75" s="91">
        <f>707.6+26.871+1398.922+36.129+1.328</f>
        <v>2170.85</v>
      </c>
      <c r="BD75" s="101">
        <v>27</v>
      </c>
      <c r="BE75" s="102"/>
      <c r="BF75" s="79"/>
      <c r="BG75" s="105">
        <v>14</v>
      </c>
      <c r="BH75" s="79"/>
      <c r="BI75" s="105">
        <v>10</v>
      </c>
      <c r="BJ75" s="105">
        <v>8</v>
      </c>
      <c r="BK75" s="105">
        <v>9</v>
      </c>
      <c r="BL75" s="15"/>
    </row>
    <row r="76" spans="1:64" ht="36" customHeight="1" x14ac:dyDescent="0.3">
      <c r="A76" s="15">
        <v>74</v>
      </c>
      <c r="B76" s="16" t="s">
        <v>854</v>
      </c>
      <c r="C76" s="16" t="s">
        <v>855</v>
      </c>
      <c r="D76" s="15">
        <v>2020</v>
      </c>
      <c r="E76" s="17" t="s">
        <v>528</v>
      </c>
      <c r="F76" s="15" t="s">
        <v>529</v>
      </c>
      <c r="G76" s="19" t="s">
        <v>225</v>
      </c>
      <c r="H76" s="48">
        <v>25100000000</v>
      </c>
      <c r="I76" s="53">
        <v>216</v>
      </c>
      <c r="J76" s="48">
        <v>1394444444.4444444</v>
      </c>
      <c r="K76" s="18" t="s">
        <v>241</v>
      </c>
      <c r="L76" s="15" t="s">
        <v>93</v>
      </c>
      <c r="M76" s="15" t="s">
        <v>106</v>
      </c>
      <c r="N76" s="15" t="s">
        <v>199</v>
      </c>
      <c r="O76" s="15" t="s">
        <v>42</v>
      </c>
      <c r="P76" s="15" t="s">
        <v>4</v>
      </c>
      <c r="Q76" s="70">
        <v>893.3</v>
      </c>
      <c r="R76" s="70">
        <v>533.6</v>
      </c>
      <c r="S76" s="81">
        <v>4230.2</v>
      </c>
      <c r="T76" s="48">
        <v>5</v>
      </c>
      <c r="U76" s="53">
        <v>5</v>
      </c>
      <c r="V76" s="15" t="s">
        <v>18</v>
      </c>
      <c r="W76" s="18" t="s">
        <v>16</v>
      </c>
      <c r="X76" s="18" t="s">
        <v>64</v>
      </c>
      <c r="Y76" s="18" t="s">
        <v>62</v>
      </c>
      <c r="Z76" s="18" t="s">
        <v>1076</v>
      </c>
      <c r="AA76" s="18" t="s">
        <v>41</v>
      </c>
      <c r="AB76" s="18" t="s">
        <v>20</v>
      </c>
      <c r="AC76" s="18"/>
      <c r="AD76" s="18" t="s">
        <v>267</v>
      </c>
      <c r="AE76" s="18" t="s">
        <v>362</v>
      </c>
      <c r="AF76" s="18"/>
      <c r="AG76" s="85"/>
      <c r="AH76" s="18" t="s">
        <v>285</v>
      </c>
      <c r="AI76" s="85"/>
      <c r="AJ76" s="85"/>
      <c r="AK76" s="85"/>
      <c r="AL76" s="91">
        <f t="shared" si="8"/>
        <v>27265</v>
      </c>
      <c r="AM76" s="91">
        <f>10056</f>
        <v>10056</v>
      </c>
      <c r="AN76" s="92"/>
      <c r="AO76" s="91">
        <v>3206</v>
      </c>
      <c r="AP76" s="91">
        <v>4873</v>
      </c>
      <c r="AQ76" s="91">
        <v>9130</v>
      </c>
      <c r="AR76" s="91">
        <f t="shared" si="7"/>
        <v>27265</v>
      </c>
      <c r="AS76" s="85"/>
      <c r="AT76" s="87">
        <v>126</v>
      </c>
      <c r="AU76" s="85"/>
      <c r="AV76" s="85"/>
      <c r="AW76" s="87">
        <v>10</v>
      </c>
      <c r="AX76" s="85"/>
      <c r="AY76" s="92"/>
      <c r="AZ76" s="85"/>
      <c r="BA76" s="85"/>
      <c r="BB76" s="91">
        <f>143038.6</f>
        <v>143038.6</v>
      </c>
      <c r="BC76" s="91">
        <f>82.446+220.757+139.315</f>
        <v>442.51799999999997</v>
      </c>
      <c r="BD76" s="101">
        <v>33</v>
      </c>
      <c r="BE76" s="102">
        <v>31</v>
      </c>
      <c r="BF76" s="79">
        <v>3</v>
      </c>
      <c r="BG76" s="79">
        <v>19</v>
      </c>
      <c r="BH76" s="79"/>
      <c r="BI76" s="79">
        <v>23</v>
      </c>
      <c r="BJ76" s="79">
        <v>6.5</v>
      </c>
      <c r="BK76" s="79">
        <v>18</v>
      </c>
      <c r="BL76" s="18" t="s">
        <v>673</v>
      </c>
    </row>
    <row r="77" spans="1:64" ht="36" customHeight="1" x14ac:dyDescent="0.3">
      <c r="A77" s="15">
        <v>75</v>
      </c>
      <c r="B77" s="16" t="s">
        <v>856</v>
      </c>
      <c r="C77" s="16" t="s">
        <v>857</v>
      </c>
      <c r="D77" s="15">
        <v>2020</v>
      </c>
      <c r="E77" s="17" t="s">
        <v>530</v>
      </c>
      <c r="F77" s="15" t="s">
        <v>531</v>
      </c>
      <c r="G77" s="19" t="s">
        <v>225</v>
      </c>
      <c r="H77" s="48">
        <v>74485000000</v>
      </c>
      <c r="I77" s="53">
        <v>318.5</v>
      </c>
      <c r="J77" s="48">
        <v>2806342229.1993723</v>
      </c>
      <c r="K77" s="18" t="s">
        <v>243</v>
      </c>
      <c r="L77" s="15" t="s">
        <v>153</v>
      </c>
      <c r="M77" s="15" t="s">
        <v>154</v>
      </c>
      <c r="N77" s="15" t="s">
        <v>90</v>
      </c>
      <c r="O77" s="15" t="s">
        <v>42</v>
      </c>
      <c r="P77" s="15" t="s">
        <v>6</v>
      </c>
      <c r="Q77" s="70">
        <v>4323</v>
      </c>
      <c r="R77" s="70">
        <v>2551.65</v>
      </c>
      <c r="S77" s="81">
        <v>35526.230000000003</v>
      </c>
      <c r="T77" s="48">
        <v>4</v>
      </c>
      <c r="U77" s="53">
        <v>11</v>
      </c>
      <c r="V77" s="15" t="s">
        <v>16</v>
      </c>
      <c r="W77" s="18" t="s">
        <v>16</v>
      </c>
      <c r="X77" s="18" t="s">
        <v>9</v>
      </c>
      <c r="Y77" s="18" t="s">
        <v>62</v>
      </c>
      <c r="Z77" s="18"/>
      <c r="AA77" s="18"/>
      <c r="AB77" s="18" t="s">
        <v>20</v>
      </c>
      <c r="AC77" s="18"/>
      <c r="AD77" s="18" t="s">
        <v>1095</v>
      </c>
      <c r="AE77" s="18" t="s">
        <v>265</v>
      </c>
      <c r="AF77" s="18"/>
      <c r="AG77" s="85"/>
      <c r="AH77" s="18" t="s">
        <v>264</v>
      </c>
      <c r="AI77" s="85"/>
      <c r="AJ77" s="85"/>
      <c r="AK77" s="85"/>
      <c r="AL77" s="91">
        <f t="shared" si="8"/>
        <v>77752</v>
      </c>
      <c r="AM77" s="91">
        <v>38477</v>
      </c>
      <c r="AN77" s="92"/>
      <c r="AO77" s="92"/>
      <c r="AP77" s="91">
        <v>31249</v>
      </c>
      <c r="AQ77" s="91">
        <f>7143+883</f>
        <v>8026</v>
      </c>
      <c r="AR77" s="91">
        <f t="shared" si="7"/>
        <v>77752</v>
      </c>
      <c r="AS77" s="85"/>
      <c r="AT77" s="87">
        <v>342</v>
      </c>
      <c r="AU77" s="85"/>
      <c r="AV77" s="85"/>
      <c r="AW77" s="85"/>
      <c r="AX77" s="85"/>
      <c r="AY77" s="92"/>
      <c r="AZ77" s="85"/>
      <c r="BA77" s="85"/>
      <c r="BB77" s="91">
        <f>12910+799+10396+184</f>
        <v>24289</v>
      </c>
      <c r="BC77" s="92"/>
      <c r="BD77" s="101">
        <v>30</v>
      </c>
      <c r="BE77" s="102">
        <v>27.5</v>
      </c>
      <c r="BF77" s="79"/>
      <c r="BG77" s="79">
        <v>7</v>
      </c>
      <c r="BH77" s="79"/>
      <c r="BI77" s="79">
        <v>12</v>
      </c>
      <c r="BJ77" s="79">
        <v>5</v>
      </c>
      <c r="BK77" s="79">
        <v>8</v>
      </c>
      <c r="BL77" s="15"/>
    </row>
    <row r="78" spans="1:64" ht="36" customHeight="1" x14ac:dyDescent="0.3">
      <c r="A78" s="15">
        <v>76</v>
      </c>
      <c r="B78" s="16" t="s">
        <v>858</v>
      </c>
      <c r="C78" s="16" t="s">
        <v>859</v>
      </c>
      <c r="D78" s="15">
        <v>2021</v>
      </c>
      <c r="E78" s="17" t="s">
        <v>3</v>
      </c>
      <c r="F78" s="15" t="s">
        <v>584</v>
      </c>
      <c r="G78" s="19" t="s">
        <v>225</v>
      </c>
      <c r="H78" s="48">
        <v>36290000000</v>
      </c>
      <c r="I78" s="53">
        <v>214</v>
      </c>
      <c r="J78" s="48">
        <v>2034953271.0280373</v>
      </c>
      <c r="K78" s="18" t="s">
        <v>243</v>
      </c>
      <c r="L78" s="15" t="s">
        <v>93</v>
      </c>
      <c r="M78" s="15" t="s">
        <v>99</v>
      </c>
      <c r="N78" s="15" t="s">
        <v>199</v>
      </c>
      <c r="O78" s="15" t="s">
        <v>42</v>
      </c>
      <c r="P78" s="15" t="s">
        <v>693</v>
      </c>
      <c r="Q78" s="70">
        <v>1833.7</v>
      </c>
      <c r="R78" s="70">
        <v>1097.28</v>
      </c>
      <c r="S78" s="81">
        <v>16901.2</v>
      </c>
      <c r="T78" s="48">
        <v>5</v>
      </c>
      <c r="U78" s="53">
        <v>11</v>
      </c>
      <c r="V78" s="15" t="s">
        <v>18</v>
      </c>
      <c r="W78" s="18" t="s">
        <v>18</v>
      </c>
      <c r="X78" s="18" t="s">
        <v>64</v>
      </c>
      <c r="Y78" s="18"/>
      <c r="Z78" s="18" t="s">
        <v>1075</v>
      </c>
      <c r="AA78" s="18" t="s">
        <v>41</v>
      </c>
      <c r="AB78" s="18" t="s">
        <v>20</v>
      </c>
      <c r="AC78" s="18"/>
      <c r="AD78" s="18" t="s">
        <v>1211</v>
      </c>
      <c r="AE78" s="18" t="s">
        <v>265</v>
      </c>
      <c r="AF78" s="18"/>
      <c r="AG78" s="85"/>
      <c r="AH78" s="18" t="s">
        <v>349</v>
      </c>
      <c r="AI78" s="85"/>
      <c r="AJ78" s="85"/>
      <c r="AK78" s="85"/>
      <c r="AL78" s="91">
        <f t="shared" si="8"/>
        <v>50516</v>
      </c>
      <c r="AM78" s="91">
        <v>33930</v>
      </c>
      <c r="AN78" s="92"/>
      <c r="AO78" s="91">
        <v>13515</v>
      </c>
      <c r="AP78" s="91">
        <v>3071</v>
      </c>
      <c r="AQ78" s="92"/>
      <c r="AR78" s="92">
        <f t="shared" si="7"/>
        <v>50516</v>
      </c>
      <c r="AS78" s="85"/>
      <c r="AT78" s="87">
        <v>152</v>
      </c>
      <c r="AU78" s="85"/>
      <c r="AV78" s="85"/>
      <c r="AW78" s="85"/>
      <c r="AX78" s="85"/>
      <c r="AY78" s="85"/>
      <c r="AZ78" s="85"/>
      <c r="BA78" s="85"/>
      <c r="BB78" s="87">
        <f>10357+3744</f>
        <v>14101</v>
      </c>
      <c r="BC78" s="87">
        <f>253.552+755.784+42.581+259.316+568.122+17.875+3.986+10.952</f>
        <v>1912.1680000000001</v>
      </c>
      <c r="BD78" s="101">
        <v>21</v>
      </c>
      <c r="BE78" s="102"/>
      <c r="BF78" s="79"/>
      <c r="BG78" s="79">
        <v>11</v>
      </c>
      <c r="BH78" s="79"/>
      <c r="BI78" s="79">
        <v>12</v>
      </c>
      <c r="BJ78" s="79">
        <v>3</v>
      </c>
      <c r="BK78" s="79">
        <v>6</v>
      </c>
      <c r="BL78" s="18" t="s">
        <v>674</v>
      </c>
    </row>
    <row r="79" spans="1:64" ht="36" customHeight="1" x14ac:dyDescent="0.3">
      <c r="A79" s="15">
        <v>77</v>
      </c>
      <c r="B79" s="16" t="s">
        <v>860</v>
      </c>
      <c r="C79" s="16" t="s">
        <v>861</v>
      </c>
      <c r="D79" s="15">
        <v>2021</v>
      </c>
      <c r="E79" s="17" t="s">
        <v>363</v>
      </c>
      <c r="F79" s="15" t="s">
        <v>585</v>
      </c>
      <c r="G79" s="19" t="s">
        <v>225</v>
      </c>
      <c r="H79" s="48">
        <f>14642000000+658000000</f>
        <v>15300000000</v>
      </c>
      <c r="I79" s="53">
        <v>97</v>
      </c>
      <c r="J79" s="48">
        <v>1892783505.154639</v>
      </c>
      <c r="K79" s="18" t="s">
        <v>241</v>
      </c>
      <c r="L79" s="15" t="s">
        <v>120</v>
      </c>
      <c r="M79" s="15" t="s">
        <v>121</v>
      </c>
      <c r="N79" s="15" t="s">
        <v>90</v>
      </c>
      <c r="O79" s="15" t="s">
        <v>5</v>
      </c>
      <c r="P79" s="15" t="s">
        <v>4</v>
      </c>
      <c r="Q79" s="70">
        <v>6064.8</v>
      </c>
      <c r="R79" s="70">
        <v>1507.66</v>
      </c>
      <c r="S79" s="81">
        <v>8513.49</v>
      </c>
      <c r="T79" s="48">
        <v>2</v>
      </c>
      <c r="U79" s="53">
        <v>5</v>
      </c>
      <c r="V79" s="15" t="s">
        <v>18</v>
      </c>
      <c r="W79" s="15"/>
      <c r="X79" s="18" t="s">
        <v>9</v>
      </c>
      <c r="Y79" s="18"/>
      <c r="Z79" s="18"/>
      <c r="AA79" s="18" t="s">
        <v>1054</v>
      </c>
      <c r="AB79" s="18" t="s">
        <v>1058</v>
      </c>
      <c r="AC79" s="18"/>
      <c r="AD79" s="18"/>
      <c r="AE79" s="18"/>
      <c r="AF79" s="18"/>
      <c r="AG79" s="85"/>
      <c r="AH79" s="18"/>
      <c r="AI79" s="85"/>
      <c r="AJ79" s="85"/>
      <c r="AK79" s="85"/>
      <c r="AL79" s="91">
        <f t="shared" si="8"/>
        <v>13364</v>
      </c>
      <c r="AM79" s="91">
        <v>13364</v>
      </c>
      <c r="AN79" s="92"/>
      <c r="AO79" s="92"/>
      <c r="AP79" s="92"/>
      <c r="AQ79" s="92"/>
      <c r="AR79" s="92">
        <f t="shared" si="7"/>
        <v>13364</v>
      </c>
      <c r="AS79" s="85"/>
      <c r="AT79" s="85"/>
      <c r="AU79" s="85"/>
      <c r="AV79" s="85"/>
      <c r="AW79" s="85"/>
      <c r="AX79" s="85"/>
      <c r="AY79" s="85"/>
      <c r="AZ79" s="85"/>
      <c r="BA79" s="85"/>
      <c r="BB79" s="87">
        <f>3515+2687</f>
        <v>6202</v>
      </c>
      <c r="BC79" s="87">
        <f>74.956+4.799+14.264</f>
        <v>94.019000000000005</v>
      </c>
      <c r="BD79" s="101">
        <v>16</v>
      </c>
      <c r="BE79" s="102"/>
      <c r="BF79" s="79"/>
      <c r="BG79" s="79"/>
      <c r="BH79" s="79"/>
      <c r="BI79" s="79"/>
      <c r="BJ79" s="79"/>
      <c r="BK79" s="79"/>
      <c r="BL79" s="15"/>
    </row>
    <row r="80" spans="1:64" ht="36" customHeight="1" x14ac:dyDescent="0.3">
      <c r="A80" s="15">
        <v>78</v>
      </c>
      <c r="B80" s="16" t="s">
        <v>862</v>
      </c>
      <c r="C80" s="16" t="s">
        <v>863</v>
      </c>
      <c r="D80" s="15">
        <v>2021</v>
      </c>
      <c r="E80" s="17" t="s">
        <v>480</v>
      </c>
      <c r="F80" s="15" t="s">
        <v>586</v>
      </c>
      <c r="G80" s="19" t="s">
        <v>225</v>
      </c>
      <c r="H80" s="48">
        <v>17682345000</v>
      </c>
      <c r="I80" s="53">
        <v>96.7</v>
      </c>
      <c r="J80" s="48">
        <v>2194293071.3547053</v>
      </c>
      <c r="K80" s="18" t="s">
        <v>241</v>
      </c>
      <c r="L80" s="15" t="s">
        <v>93</v>
      </c>
      <c r="M80" s="15" t="s">
        <v>106</v>
      </c>
      <c r="N80" s="15" t="s">
        <v>199</v>
      </c>
      <c r="O80" s="15" t="s">
        <v>5</v>
      </c>
      <c r="P80" s="15" t="s">
        <v>4</v>
      </c>
      <c r="Q80" s="70">
        <v>855</v>
      </c>
      <c r="R80" s="70">
        <v>470.15</v>
      </c>
      <c r="S80" s="81">
        <v>6066.72</v>
      </c>
      <c r="T80" s="48">
        <v>3</v>
      </c>
      <c r="U80" s="53">
        <v>12</v>
      </c>
      <c r="V80" s="15" t="s">
        <v>16</v>
      </c>
      <c r="W80" s="18" t="s">
        <v>18</v>
      </c>
      <c r="X80" s="18" t="s">
        <v>9</v>
      </c>
      <c r="Y80" s="18"/>
      <c r="Z80" s="18"/>
      <c r="AA80" s="18"/>
      <c r="AB80" s="18" t="s">
        <v>20</v>
      </c>
      <c r="AC80" s="18"/>
      <c r="AD80" s="18" t="s">
        <v>479</v>
      </c>
      <c r="AE80" s="18" t="s">
        <v>265</v>
      </c>
      <c r="AF80" s="18"/>
      <c r="AG80" s="85"/>
      <c r="AH80" s="18" t="s">
        <v>285</v>
      </c>
      <c r="AI80" s="85"/>
      <c r="AJ80" s="85"/>
      <c r="AK80" s="85"/>
      <c r="AL80" s="91">
        <f t="shared" si="8"/>
        <v>2411</v>
      </c>
      <c r="AM80" s="91">
        <f>524+390+217</f>
        <v>1131</v>
      </c>
      <c r="AN80" s="92"/>
      <c r="AO80" s="92"/>
      <c r="AP80" s="91">
        <v>1280</v>
      </c>
      <c r="AQ80" s="92"/>
      <c r="AR80" s="92">
        <f t="shared" si="7"/>
        <v>2411</v>
      </c>
      <c r="AS80" s="85"/>
      <c r="AT80" s="87">
        <v>60</v>
      </c>
      <c r="AU80" s="85"/>
      <c r="AV80" s="85"/>
      <c r="AW80" s="85"/>
      <c r="AX80" s="85"/>
      <c r="AY80" s="85"/>
      <c r="AZ80" s="85"/>
      <c r="BA80" s="85"/>
      <c r="BB80" s="87">
        <f>794+948+523</f>
        <v>2265</v>
      </c>
      <c r="BC80" s="87">
        <f>78.09</f>
        <v>78.09</v>
      </c>
      <c r="BD80" s="101">
        <v>8</v>
      </c>
      <c r="BE80" s="102">
        <f>376/30</f>
        <v>12.533333333333333</v>
      </c>
      <c r="BF80" s="79">
        <v>1.5</v>
      </c>
      <c r="BG80" s="79">
        <v>5</v>
      </c>
      <c r="BH80" s="79"/>
      <c r="BI80" s="79">
        <v>5</v>
      </c>
      <c r="BJ80" s="79">
        <v>5</v>
      </c>
      <c r="BK80" s="79">
        <v>5</v>
      </c>
      <c r="BL80" s="15" t="s">
        <v>5</v>
      </c>
    </row>
    <row r="81" spans="1:64" ht="36" customHeight="1" x14ac:dyDescent="0.3">
      <c r="A81" s="15">
        <v>79</v>
      </c>
      <c r="B81" s="16" t="s">
        <v>864</v>
      </c>
      <c r="C81" s="16" t="s">
        <v>865</v>
      </c>
      <c r="D81" s="15">
        <v>2021</v>
      </c>
      <c r="E81" s="17" t="s">
        <v>476</v>
      </c>
      <c r="F81" s="15" t="s">
        <v>532</v>
      </c>
      <c r="G81" s="19" t="s">
        <v>225</v>
      </c>
      <c r="H81" s="48">
        <v>24210000000</v>
      </c>
      <c r="I81" s="53">
        <v>186.5</v>
      </c>
      <c r="J81" s="48">
        <v>1557747989.2761393</v>
      </c>
      <c r="K81" s="18" t="s">
        <v>241</v>
      </c>
      <c r="L81" s="15" t="s">
        <v>93</v>
      </c>
      <c r="M81" s="15" t="s">
        <v>101</v>
      </c>
      <c r="N81" s="15" t="s">
        <v>199</v>
      </c>
      <c r="O81" s="15" t="s">
        <v>5</v>
      </c>
      <c r="P81" s="18" t="s">
        <v>693</v>
      </c>
      <c r="Q81" s="70">
        <v>6763</v>
      </c>
      <c r="R81" s="70">
        <v>2120</v>
      </c>
      <c r="S81" s="81">
        <v>45945</v>
      </c>
      <c r="T81" s="48">
        <v>6</v>
      </c>
      <c r="U81" s="53">
        <v>19</v>
      </c>
      <c r="V81" s="15" t="s">
        <v>18</v>
      </c>
      <c r="W81" s="18" t="s">
        <v>18</v>
      </c>
      <c r="X81" s="18" t="s">
        <v>9</v>
      </c>
      <c r="Y81" s="18" t="s">
        <v>62</v>
      </c>
      <c r="Z81" s="18"/>
      <c r="AA81" s="18"/>
      <c r="AB81" s="18" t="s">
        <v>20</v>
      </c>
      <c r="AC81" s="18"/>
      <c r="AD81" s="18" t="s">
        <v>267</v>
      </c>
      <c r="AE81" s="18" t="s">
        <v>265</v>
      </c>
      <c r="AF81" s="18"/>
      <c r="AG81" s="85"/>
      <c r="AH81" s="18" t="s">
        <v>264</v>
      </c>
      <c r="AI81" s="85"/>
      <c r="AJ81" s="85"/>
      <c r="AK81" s="85"/>
      <c r="AL81" s="91">
        <f t="shared" si="8"/>
        <v>28397</v>
      </c>
      <c r="AM81" s="91">
        <f>4512+18424</f>
        <v>22936</v>
      </c>
      <c r="AN81" s="92"/>
      <c r="AO81" s="91">
        <v>5461</v>
      </c>
      <c r="AP81" s="92"/>
      <c r="AQ81" s="92"/>
      <c r="AR81" s="92">
        <f t="shared" si="7"/>
        <v>28397</v>
      </c>
      <c r="AS81" s="85"/>
      <c r="AT81" s="85"/>
      <c r="AU81" s="85"/>
      <c r="AV81" s="87">
        <v>22</v>
      </c>
      <c r="AW81" s="85"/>
      <c r="AX81" s="85"/>
      <c r="AY81" s="85"/>
      <c r="AZ81" s="85"/>
      <c r="BA81" s="85"/>
      <c r="BB81" s="87">
        <f>100.7+54+176+5015+39+39+4490</f>
        <v>9913.7000000000007</v>
      </c>
      <c r="BC81" s="87">
        <f>4.116+1.331+2.387+5.479+3.485+3.485+0.212+1.289+2.387+43.309+15.972+1.651+40.982+132.072+126.229+238.302+93.966+8.139+18.602</f>
        <v>743.39499999999998</v>
      </c>
      <c r="BD81" s="101">
        <v>30</v>
      </c>
      <c r="BE81" s="102"/>
      <c r="BF81" s="79">
        <f>90/30</f>
        <v>3</v>
      </c>
      <c r="BG81" s="79">
        <f>87/30</f>
        <v>2.9</v>
      </c>
      <c r="BH81" s="79"/>
      <c r="BI81" s="79">
        <f>469/30</f>
        <v>15.633333333333333</v>
      </c>
      <c r="BJ81" s="79">
        <f>334/30</f>
        <v>11.133333333333333</v>
      </c>
      <c r="BK81" s="79">
        <f>186/30</f>
        <v>6.2</v>
      </c>
      <c r="BL81" s="18" t="s">
        <v>478</v>
      </c>
    </row>
    <row r="82" spans="1:64" ht="36" customHeight="1" x14ac:dyDescent="0.3">
      <c r="A82" s="15">
        <v>80</v>
      </c>
      <c r="B82" s="16" t="s">
        <v>866</v>
      </c>
      <c r="C82" s="16" t="s">
        <v>867</v>
      </c>
      <c r="D82" s="15">
        <v>2021</v>
      </c>
      <c r="E82" s="17" t="s">
        <v>475</v>
      </c>
      <c r="F82" s="15" t="s">
        <v>587</v>
      </c>
      <c r="G82" s="19" t="s">
        <v>225</v>
      </c>
      <c r="H82" s="48">
        <v>55965000000</v>
      </c>
      <c r="I82" s="53">
        <v>249</v>
      </c>
      <c r="J82" s="48">
        <v>2697108433.7349396</v>
      </c>
      <c r="K82" s="18" t="s">
        <v>241</v>
      </c>
      <c r="L82" s="15" t="s">
        <v>120</v>
      </c>
      <c r="M82" s="15" t="s">
        <v>121</v>
      </c>
      <c r="N82" s="15" t="s">
        <v>90</v>
      </c>
      <c r="O82" s="15" t="s">
        <v>5</v>
      </c>
      <c r="P82" s="15" t="s">
        <v>6</v>
      </c>
      <c r="Q82" s="70">
        <v>49458</v>
      </c>
      <c r="R82" s="70">
        <v>9485.08</v>
      </c>
      <c r="S82" s="81">
        <v>45596.89</v>
      </c>
      <c r="T82" s="48">
        <v>2</v>
      </c>
      <c r="U82" s="53">
        <v>4</v>
      </c>
      <c r="V82" s="15" t="s">
        <v>16</v>
      </c>
      <c r="W82" s="18" t="s">
        <v>16</v>
      </c>
      <c r="X82" s="18" t="s">
        <v>9</v>
      </c>
      <c r="Y82" s="18"/>
      <c r="Z82" s="18"/>
      <c r="AA82" s="18" t="s">
        <v>1055</v>
      </c>
      <c r="AB82" s="18" t="s">
        <v>1057</v>
      </c>
      <c r="AC82" s="18"/>
      <c r="AD82" s="18" t="s">
        <v>1095</v>
      </c>
      <c r="AE82" s="18" t="s">
        <v>266</v>
      </c>
      <c r="AF82" s="18"/>
      <c r="AG82" s="85"/>
      <c r="AH82" s="18" t="s">
        <v>264</v>
      </c>
      <c r="AI82" s="85"/>
      <c r="AJ82" s="85"/>
      <c r="AK82" s="85"/>
      <c r="AL82" s="91">
        <f t="shared" si="8"/>
        <v>125041</v>
      </c>
      <c r="AM82" s="91">
        <f>10398+7947+542+82205</f>
        <v>101092</v>
      </c>
      <c r="AN82" s="92"/>
      <c r="AO82" s="92"/>
      <c r="AP82" s="91">
        <v>22152</v>
      </c>
      <c r="AQ82" s="91">
        <v>1797</v>
      </c>
      <c r="AR82" s="91">
        <f t="shared" si="7"/>
        <v>125041</v>
      </c>
      <c r="AS82" s="85"/>
      <c r="AT82" s="85"/>
      <c r="AU82" s="85"/>
      <c r="AV82" s="85"/>
      <c r="AW82" s="85"/>
      <c r="AX82" s="85"/>
      <c r="AY82" s="92"/>
      <c r="AZ82" s="85"/>
      <c r="BA82" s="85"/>
      <c r="BB82" s="91">
        <f>4924+16616+164+773+27</f>
        <v>22504</v>
      </c>
      <c r="BC82" s="91">
        <f>234.416+64.951+4.069+5.699+1.031</f>
        <v>310.166</v>
      </c>
      <c r="BD82" s="101">
        <v>21</v>
      </c>
      <c r="BE82" s="102">
        <v>19</v>
      </c>
      <c r="BF82" s="79">
        <v>2</v>
      </c>
      <c r="BG82" s="79">
        <v>7</v>
      </c>
      <c r="BH82" s="79"/>
      <c r="BI82" s="79">
        <v>6.5</v>
      </c>
      <c r="BJ82" s="79">
        <v>5</v>
      </c>
      <c r="BK82" s="79">
        <v>9</v>
      </c>
      <c r="BL82" s="18" t="s">
        <v>477</v>
      </c>
    </row>
    <row r="83" spans="1:64" ht="36" customHeight="1" x14ac:dyDescent="0.3">
      <c r="A83" s="15">
        <v>81</v>
      </c>
      <c r="B83" s="16" t="s">
        <v>868</v>
      </c>
      <c r="C83" s="16" t="s">
        <v>869</v>
      </c>
      <c r="D83" s="15">
        <v>2021</v>
      </c>
      <c r="E83" s="17" t="s">
        <v>467</v>
      </c>
      <c r="F83" s="15" t="s">
        <v>466</v>
      </c>
      <c r="G83" s="19" t="s">
        <v>225</v>
      </c>
      <c r="H83" s="48">
        <v>22190000000</v>
      </c>
      <c r="I83" s="53">
        <v>116</v>
      </c>
      <c r="J83" s="48">
        <v>2295517241.3793106</v>
      </c>
      <c r="K83" s="15" t="s">
        <v>241</v>
      </c>
      <c r="L83" s="15" t="s">
        <v>156</v>
      </c>
      <c r="M83" s="15" t="s">
        <v>157</v>
      </c>
      <c r="N83" s="15" t="s">
        <v>90</v>
      </c>
      <c r="O83" s="18" t="s">
        <v>5</v>
      </c>
      <c r="P83" s="21" t="s">
        <v>57</v>
      </c>
      <c r="Q83" s="70">
        <v>27196.1</v>
      </c>
      <c r="R83" s="70">
        <v>19213.291000000001</v>
      </c>
      <c r="S83" s="81">
        <v>230656.94899999999</v>
      </c>
      <c r="T83" s="48">
        <v>4</v>
      </c>
      <c r="U83" s="53">
        <v>6</v>
      </c>
      <c r="V83" s="15"/>
      <c r="W83" s="15"/>
      <c r="X83" s="15"/>
      <c r="Y83" s="18"/>
      <c r="Z83" s="18"/>
      <c r="AA83" s="18"/>
      <c r="AB83" s="18"/>
      <c r="AC83" s="18"/>
      <c r="AD83" s="18"/>
      <c r="AE83" s="18"/>
      <c r="AF83" s="18"/>
      <c r="AG83" s="85"/>
      <c r="AH83" s="18"/>
      <c r="AI83" s="85"/>
      <c r="AJ83" s="85"/>
      <c r="AK83" s="85"/>
      <c r="AL83" s="92"/>
      <c r="AM83" s="92"/>
      <c r="AN83" s="92"/>
      <c r="AO83" s="92"/>
      <c r="AP83" s="92"/>
      <c r="AQ83" s="92"/>
      <c r="AR83" s="92">
        <f t="shared" si="7"/>
        <v>0</v>
      </c>
      <c r="AS83" s="85"/>
      <c r="AT83" s="85"/>
      <c r="AU83" s="85"/>
      <c r="AV83" s="85"/>
      <c r="AW83" s="85"/>
      <c r="AX83" s="85"/>
      <c r="AY83" s="92"/>
      <c r="AZ83" s="85"/>
      <c r="BA83" s="85"/>
      <c r="BB83" s="92"/>
      <c r="BC83" s="92"/>
      <c r="BD83" s="101">
        <v>14</v>
      </c>
      <c r="BE83" s="102">
        <v>14</v>
      </c>
      <c r="BF83" s="79">
        <v>5</v>
      </c>
      <c r="BG83" s="79"/>
      <c r="BH83" s="79"/>
      <c r="BI83" s="79">
        <v>3</v>
      </c>
      <c r="BJ83" s="79"/>
      <c r="BK83" s="79">
        <v>14</v>
      </c>
      <c r="BL83" s="18" t="s">
        <v>473</v>
      </c>
    </row>
    <row r="84" spans="1:64" ht="36" customHeight="1" x14ac:dyDescent="0.3">
      <c r="A84" s="15">
        <v>82</v>
      </c>
      <c r="B84" s="16" t="s">
        <v>870</v>
      </c>
      <c r="C84" s="16" t="s">
        <v>871</v>
      </c>
      <c r="D84" s="15">
        <v>2021</v>
      </c>
      <c r="E84" s="17" t="s">
        <v>468</v>
      </c>
      <c r="F84" s="15" t="s">
        <v>466</v>
      </c>
      <c r="G84" s="19" t="s">
        <v>225</v>
      </c>
      <c r="H84" s="48">
        <v>9110000000</v>
      </c>
      <c r="I84" s="53">
        <v>116</v>
      </c>
      <c r="J84" s="48">
        <v>942413793.10344839</v>
      </c>
      <c r="K84" s="15" t="s">
        <v>241</v>
      </c>
      <c r="L84" s="15" t="s">
        <v>156</v>
      </c>
      <c r="M84" s="15" t="s">
        <v>157</v>
      </c>
      <c r="N84" s="15" t="s">
        <v>90</v>
      </c>
      <c r="O84" s="18" t="s">
        <v>5</v>
      </c>
      <c r="P84" s="21" t="s">
        <v>57</v>
      </c>
      <c r="Q84" s="70">
        <v>23752.5</v>
      </c>
      <c r="R84" s="70">
        <v>15686.843000000001</v>
      </c>
      <c r="S84" s="81">
        <v>232389.524</v>
      </c>
      <c r="T84" s="48">
        <v>5</v>
      </c>
      <c r="U84" s="53">
        <v>5</v>
      </c>
      <c r="V84" s="15"/>
      <c r="W84" s="15"/>
      <c r="X84" s="15"/>
      <c r="Y84" s="18"/>
      <c r="Z84" s="18"/>
      <c r="AA84" s="18"/>
      <c r="AB84" s="18"/>
      <c r="AC84" s="18"/>
      <c r="AD84" s="18"/>
      <c r="AE84" s="18"/>
      <c r="AF84" s="18"/>
      <c r="AG84" s="85"/>
      <c r="AH84" s="18"/>
      <c r="AI84" s="85"/>
      <c r="AJ84" s="85"/>
      <c r="AK84" s="85"/>
      <c r="AL84" s="92"/>
      <c r="AM84" s="92"/>
      <c r="AN84" s="92"/>
      <c r="AO84" s="92"/>
      <c r="AP84" s="92"/>
      <c r="AQ84" s="92"/>
      <c r="AR84" s="92">
        <f t="shared" si="7"/>
        <v>0</v>
      </c>
      <c r="AS84" s="85"/>
      <c r="AT84" s="85"/>
      <c r="AU84" s="85"/>
      <c r="AV84" s="85"/>
      <c r="AW84" s="85"/>
      <c r="AX84" s="85"/>
      <c r="AY84" s="92"/>
      <c r="AZ84" s="85"/>
      <c r="BA84" s="85"/>
      <c r="BB84" s="92"/>
      <c r="BC84" s="92"/>
      <c r="BD84" s="101">
        <v>14</v>
      </c>
      <c r="BE84" s="102">
        <v>14</v>
      </c>
      <c r="BF84" s="79">
        <v>5</v>
      </c>
      <c r="BG84" s="79"/>
      <c r="BH84" s="79"/>
      <c r="BI84" s="79"/>
      <c r="BJ84" s="79"/>
      <c r="BK84" s="79">
        <v>10</v>
      </c>
      <c r="BL84" s="18" t="s">
        <v>474</v>
      </c>
    </row>
    <row r="85" spans="1:64" s="43" customFormat="1" ht="36" customHeight="1" x14ac:dyDescent="0.3">
      <c r="A85" s="39">
        <v>83</v>
      </c>
      <c r="B85" s="40" t="s">
        <v>1031</v>
      </c>
      <c r="C85" s="39"/>
      <c r="D85" s="41">
        <v>2021</v>
      </c>
      <c r="E85" s="45" t="s">
        <v>627</v>
      </c>
      <c r="F85" s="45" t="s">
        <v>208</v>
      </c>
      <c r="G85" s="45" t="s">
        <v>687</v>
      </c>
      <c r="H85" s="54"/>
      <c r="I85" s="54"/>
      <c r="J85" s="54"/>
      <c r="K85" s="45" t="s">
        <v>36</v>
      </c>
      <c r="L85" s="41" t="s">
        <v>150</v>
      </c>
      <c r="M85" s="41" t="s">
        <v>36</v>
      </c>
      <c r="N85" s="41" t="s">
        <v>90</v>
      </c>
      <c r="O85" s="41" t="s">
        <v>42</v>
      </c>
      <c r="P85" s="41" t="s">
        <v>7</v>
      </c>
      <c r="Q85" s="77">
        <v>19511</v>
      </c>
      <c r="R85" s="75"/>
      <c r="S85" s="77">
        <v>38079.64</v>
      </c>
      <c r="T85" s="63">
        <v>0</v>
      </c>
      <c r="U85" s="64">
        <v>5</v>
      </c>
      <c r="V85" s="41" t="s">
        <v>1050</v>
      </c>
      <c r="W85" s="39"/>
      <c r="X85" s="39"/>
      <c r="Y85" s="42"/>
      <c r="Z85" s="42"/>
      <c r="AA85" s="42"/>
      <c r="AB85" s="42"/>
      <c r="AC85" s="42"/>
      <c r="AD85" s="41"/>
      <c r="AE85" s="41"/>
      <c r="AF85" s="41"/>
      <c r="AG85" s="64"/>
      <c r="AH85" s="42"/>
      <c r="AI85" s="90"/>
      <c r="AJ85" s="90"/>
      <c r="AK85" s="90"/>
      <c r="AL85" s="92"/>
      <c r="AM85" s="63"/>
      <c r="AN85" s="63"/>
      <c r="AO85" s="63"/>
      <c r="AP85" s="63"/>
      <c r="AQ85" s="63"/>
      <c r="AR85" s="92">
        <f t="shared" si="7"/>
        <v>0</v>
      </c>
      <c r="AS85" s="90"/>
      <c r="AT85" s="90"/>
      <c r="AU85" s="90"/>
      <c r="AV85" s="85"/>
      <c r="AW85" s="90"/>
      <c r="AX85" s="90"/>
      <c r="AY85" s="100"/>
      <c r="AZ85" s="90"/>
      <c r="BA85" s="90"/>
      <c r="BB85" s="100"/>
      <c r="BC85" s="100"/>
      <c r="BD85" s="113">
        <v>9</v>
      </c>
      <c r="BE85" s="113"/>
      <c r="BF85" s="69"/>
      <c r="BG85" s="69"/>
      <c r="BH85" s="69"/>
      <c r="BI85" s="69"/>
      <c r="BJ85" s="69"/>
      <c r="BK85" s="69"/>
      <c r="BL85" s="45"/>
    </row>
    <row r="86" spans="1:64" ht="36" customHeight="1" x14ac:dyDescent="0.3">
      <c r="A86" s="15">
        <v>84</v>
      </c>
      <c r="B86" s="16" t="s">
        <v>1032</v>
      </c>
      <c r="C86" s="15"/>
      <c r="D86" s="17">
        <v>2021</v>
      </c>
      <c r="E86" s="21" t="s">
        <v>628</v>
      </c>
      <c r="F86" s="21" t="s">
        <v>36</v>
      </c>
      <c r="G86" s="44" t="s">
        <v>687</v>
      </c>
      <c r="H86" s="53"/>
      <c r="I86" s="53"/>
      <c r="J86" s="53"/>
      <c r="K86" s="21" t="s">
        <v>36</v>
      </c>
      <c r="L86" s="17" t="s">
        <v>95</v>
      </c>
      <c r="M86" s="17" t="s">
        <v>36</v>
      </c>
      <c r="N86" s="17" t="s">
        <v>90</v>
      </c>
      <c r="O86" s="17" t="s">
        <v>42</v>
      </c>
      <c r="P86" s="17" t="s">
        <v>7</v>
      </c>
      <c r="Q86" s="76">
        <v>17075.7</v>
      </c>
      <c r="R86" s="70"/>
      <c r="S86" s="72">
        <v>50185.919999999998</v>
      </c>
      <c r="T86" s="58">
        <v>0</v>
      </c>
      <c r="U86" s="59">
        <v>5</v>
      </c>
      <c r="V86" s="15"/>
      <c r="W86" s="15"/>
      <c r="X86" s="15"/>
      <c r="Y86" s="18"/>
      <c r="Z86" s="18"/>
      <c r="AA86" s="18"/>
      <c r="AB86" s="18"/>
      <c r="AC86" s="18"/>
      <c r="AD86" s="17"/>
      <c r="AE86" s="17"/>
      <c r="AF86" s="17"/>
      <c r="AG86" s="59"/>
      <c r="AH86" s="18"/>
      <c r="AI86" s="85"/>
      <c r="AJ86" s="85"/>
      <c r="AK86" s="85"/>
      <c r="AL86" s="92"/>
      <c r="AM86" s="62"/>
      <c r="AN86" s="62"/>
      <c r="AO86" s="62"/>
      <c r="AP86" s="62"/>
      <c r="AQ86" s="62"/>
      <c r="AR86" s="92">
        <f t="shared" si="7"/>
        <v>0</v>
      </c>
      <c r="AS86" s="85"/>
      <c r="AT86" s="85"/>
      <c r="AU86" s="85"/>
      <c r="AV86" s="85"/>
      <c r="AW86" s="85"/>
      <c r="AX86" s="85"/>
      <c r="AY86" s="92"/>
      <c r="AZ86" s="85"/>
      <c r="BA86" s="85"/>
      <c r="BB86" s="92"/>
      <c r="BC86" s="92"/>
      <c r="BD86" s="107">
        <v>11</v>
      </c>
      <c r="BE86" s="107"/>
      <c r="BF86" s="79"/>
      <c r="BG86" s="79"/>
      <c r="BH86" s="79"/>
      <c r="BI86" s="79"/>
      <c r="BJ86" s="79"/>
      <c r="BK86" s="79"/>
      <c r="BL86" s="21"/>
    </row>
    <row r="87" spans="1:64" ht="36" customHeight="1" x14ac:dyDescent="0.3">
      <c r="A87" s="15">
        <v>85</v>
      </c>
      <c r="B87" s="16" t="s">
        <v>872</v>
      </c>
      <c r="C87" s="16" t="s">
        <v>873</v>
      </c>
      <c r="D87" s="15">
        <v>2021</v>
      </c>
      <c r="E87" s="17" t="s">
        <v>533</v>
      </c>
      <c r="F87" s="15" t="s">
        <v>675</v>
      </c>
      <c r="G87" s="19" t="s">
        <v>225</v>
      </c>
      <c r="H87" s="48">
        <v>21100000000</v>
      </c>
      <c r="I87" s="53">
        <v>188.5</v>
      </c>
      <c r="J87" s="48">
        <v>1343236074.2705572</v>
      </c>
      <c r="K87" s="18" t="s">
        <v>241</v>
      </c>
      <c r="L87" s="15" t="s">
        <v>93</v>
      </c>
      <c r="M87" s="15" t="s">
        <v>94</v>
      </c>
      <c r="N87" s="15" t="s">
        <v>199</v>
      </c>
      <c r="O87" s="15" t="s">
        <v>42</v>
      </c>
      <c r="P87" s="15" t="s">
        <v>4</v>
      </c>
      <c r="Q87" s="70">
        <v>1343.1</v>
      </c>
      <c r="R87" s="70">
        <v>785.65</v>
      </c>
      <c r="S87" s="81">
        <v>10533.44</v>
      </c>
      <c r="T87" s="48">
        <v>4</v>
      </c>
      <c r="U87" s="53">
        <v>10</v>
      </c>
      <c r="V87" s="15"/>
      <c r="W87" s="15"/>
      <c r="X87" s="18" t="s">
        <v>64</v>
      </c>
      <c r="Y87" s="18" t="s">
        <v>62</v>
      </c>
      <c r="Z87" s="18" t="s">
        <v>1076</v>
      </c>
      <c r="AA87" s="18" t="s">
        <v>65</v>
      </c>
      <c r="AB87" s="18" t="s">
        <v>20</v>
      </c>
      <c r="AC87" s="18"/>
      <c r="AD87" s="18" t="s">
        <v>1208</v>
      </c>
      <c r="AE87" s="18" t="s">
        <v>265</v>
      </c>
      <c r="AF87" s="18"/>
      <c r="AG87" s="85"/>
      <c r="AH87" s="18" t="s">
        <v>264</v>
      </c>
      <c r="AI87" s="85"/>
      <c r="AJ87" s="85"/>
      <c r="AK87" s="85"/>
      <c r="AL87" s="91">
        <f>SUM(AM87:AQ87)</f>
        <v>20390</v>
      </c>
      <c r="AM87" s="91">
        <f>4600+14658</f>
        <v>19258</v>
      </c>
      <c r="AN87" s="92"/>
      <c r="AO87" s="91">
        <v>779</v>
      </c>
      <c r="AP87" s="91">
        <v>353</v>
      </c>
      <c r="AQ87" s="92"/>
      <c r="AR87" s="92">
        <f t="shared" si="7"/>
        <v>20390</v>
      </c>
      <c r="AS87" s="85"/>
      <c r="AT87" s="87">
        <v>163</v>
      </c>
      <c r="AU87" s="85"/>
      <c r="AV87" s="87">
        <v>14</v>
      </c>
      <c r="AW87" s="85"/>
      <c r="AX87" s="85"/>
      <c r="AY87" s="85"/>
      <c r="AZ87" s="85"/>
      <c r="BA87" s="85"/>
      <c r="BB87" s="87">
        <f>4677+3368</f>
        <v>8045</v>
      </c>
      <c r="BC87" s="87">
        <f>59.763+0.133+327.1+1.198+159.7+0.001+9.153+0.139</f>
        <v>557.18700000000001</v>
      </c>
      <c r="BD87" s="101">
        <v>23</v>
      </c>
      <c r="BE87" s="102">
        <f>690/30</f>
        <v>23</v>
      </c>
      <c r="BF87" s="79"/>
      <c r="BG87" s="79">
        <f>331/30</f>
        <v>11.033333333333333</v>
      </c>
      <c r="BH87" s="79"/>
      <c r="BI87" s="79">
        <f>382/30</f>
        <v>12.733333333333333</v>
      </c>
      <c r="BJ87" s="79">
        <f>181/30</f>
        <v>6.0333333333333332</v>
      </c>
      <c r="BK87" s="79">
        <v>7</v>
      </c>
      <c r="BL87" s="15" t="s">
        <v>464</v>
      </c>
    </row>
    <row r="88" spans="1:64" ht="36" customHeight="1" x14ac:dyDescent="0.3">
      <c r="A88" s="15">
        <v>86</v>
      </c>
      <c r="B88" s="16" t="s">
        <v>874</v>
      </c>
      <c r="C88" s="16" t="s">
        <v>875</v>
      </c>
      <c r="D88" s="15">
        <v>2021</v>
      </c>
      <c r="E88" s="17" t="s">
        <v>534</v>
      </c>
      <c r="F88" s="15" t="s">
        <v>675</v>
      </c>
      <c r="G88" s="19" t="s">
        <v>225</v>
      </c>
      <c r="H88" s="48">
        <v>4818000000</v>
      </c>
      <c r="I88" s="53">
        <v>54</v>
      </c>
      <c r="J88" s="48">
        <v>1070666666.6666667</v>
      </c>
      <c r="K88" s="18" t="s">
        <v>241</v>
      </c>
      <c r="L88" s="15" t="s">
        <v>93</v>
      </c>
      <c r="M88" s="15" t="s">
        <v>94</v>
      </c>
      <c r="N88" s="15" t="s">
        <v>199</v>
      </c>
      <c r="O88" s="15" t="s">
        <v>59</v>
      </c>
      <c r="P88" s="18" t="s">
        <v>57</v>
      </c>
      <c r="Q88" s="70">
        <v>496.1</v>
      </c>
      <c r="R88" s="70">
        <v>296.36</v>
      </c>
      <c r="S88" s="81">
        <v>991.14</v>
      </c>
      <c r="T88" s="48">
        <v>1</v>
      </c>
      <c r="U88" s="53">
        <v>5</v>
      </c>
      <c r="V88" s="15" t="s">
        <v>18</v>
      </c>
      <c r="W88" s="18" t="s">
        <v>18</v>
      </c>
      <c r="X88" s="18"/>
      <c r="Y88" s="18" t="s">
        <v>465</v>
      </c>
      <c r="Z88" s="18"/>
      <c r="AA88" s="18"/>
      <c r="AB88" s="18"/>
      <c r="AC88" s="18"/>
      <c r="AD88" s="18" t="s">
        <v>1209</v>
      </c>
      <c r="AE88" s="18" t="s">
        <v>265</v>
      </c>
      <c r="AF88" s="18"/>
      <c r="AG88" s="85"/>
      <c r="AH88" s="18" t="s">
        <v>285</v>
      </c>
      <c r="AI88" s="85"/>
      <c r="AJ88" s="85"/>
      <c r="AK88" s="85"/>
      <c r="AL88" s="92"/>
      <c r="AM88" s="92"/>
      <c r="AN88" s="92"/>
      <c r="AO88" s="92"/>
      <c r="AP88" s="92"/>
      <c r="AQ88" s="92"/>
      <c r="AR88" s="92">
        <f t="shared" si="7"/>
        <v>0</v>
      </c>
      <c r="AS88" s="85"/>
      <c r="AT88" s="85"/>
      <c r="AU88" s="85"/>
      <c r="AV88" s="85"/>
      <c r="AW88" s="85"/>
      <c r="AX88" s="85"/>
      <c r="AY88" s="92"/>
      <c r="AZ88" s="85"/>
      <c r="BA88" s="85"/>
      <c r="BB88" s="92"/>
      <c r="BC88" s="92"/>
      <c r="BD88" s="101">
        <v>9</v>
      </c>
      <c r="BE88" s="102">
        <f>281/30</f>
        <v>9.3666666666666671</v>
      </c>
      <c r="BF88" s="79">
        <f>50/30</f>
        <v>1.6666666666666667</v>
      </c>
      <c r="BG88" s="79">
        <f>56/30</f>
        <v>1.8666666666666667</v>
      </c>
      <c r="BH88" s="79"/>
      <c r="BI88" s="79">
        <f>145/30</f>
        <v>4.833333333333333</v>
      </c>
      <c r="BJ88" s="79">
        <f>203/30</f>
        <v>6.7666666666666666</v>
      </c>
      <c r="BK88" s="79">
        <f>78/30</f>
        <v>2.6</v>
      </c>
      <c r="BL88" s="15"/>
    </row>
    <row r="89" spans="1:64" s="43" customFormat="1" ht="36" customHeight="1" x14ac:dyDescent="0.3">
      <c r="A89" s="39">
        <v>87</v>
      </c>
      <c r="B89" s="40" t="s">
        <v>876</v>
      </c>
      <c r="C89" s="40" t="s">
        <v>877</v>
      </c>
      <c r="D89" s="39">
        <v>2021</v>
      </c>
      <c r="E89" s="41" t="s">
        <v>462</v>
      </c>
      <c r="F89" s="39" t="s">
        <v>588</v>
      </c>
      <c r="G89" s="41" t="s">
        <v>225</v>
      </c>
      <c r="H89" s="52">
        <v>2653661049</v>
      </c>
      <c r="I89" s="54"/>
      <c r="J89" s="54"/>
      <c r="K89" s="42" t="s">
        <v>241</v>
      </c>
      <c r="L89" s="39" t="s">
        <v>93</v>
      </c>
      <c r="M89" s="39" t="s">
        <v>107</v>
      </c>
      <c r="N89" s="39" t="s">
        <v>199</v>
      </c>
      <c r="O89" s="39" t="s">
        <v>463</v>
      </c>
      <c r="P89" s="39" t="s">
        <v>6</v>
      </c>
      <c r="Q89" s="75">
        <v>8818.7999999999993</v>
      </c>
      <c r="R89" s="75"/>
      <c r="S89" s="75">
        <v>25427.08</v>
      </c>
      <c r="T89" s="52">
        <v>3</v>
      </c>
      <c r="U89" s="54">
        <v>9</v>
      </c>
      <c r="V89" s="39" t="s">
        <v>18</v>
      </c>
      <c r="W89" s="39"/>
      <c r="X89" s="42" t="s">
        <v>9</v>
      </c>
      <c r="Y89" s="42"/>
      <c r="Z89" s="42"/>
      <c r="AA89" s="42"/>
      <c r="AB89" s="42" t="s">
        <v>20</v>
      </c>
      <c r="AC89" s="42"/>
      <c r="AD89" s="41"/>
      <c r="AE89" s="41"/>
      <c r="AF89" s="41"/>
      <c r="AG89" s="64"/>
      <c r="AH89" s="42"/>
      <c r="AI89" s="90"/>
      <c r="AJ89" s="90"/>
      <c r="AK89" s="90"/>
      <c r="AL89" s="92">
        <f>SUM(AM89:AQ89)</f>
        <v>5000</v>
      </c>
      <c r="AM89" s="100">
        <v>5000</v>
      </c>
      <c r="AN89" s="100"/>
      <c r="AO89" s="100"/>
      <c r="AP89" s="100"/>
      <c r="AQ89" s="100"/>
      <c r="AR89" s="92">
        <f t="shared" si="7"/>
        <v>5000</v>
      </c>
      <c r="AS89" s="90"/>
      <c r="AT89" s="90">
        <v>246</v>
      </c>
      <c r="AU89" s="90"/>
      <c r="AV89" s="85"/>
      <c r="AW89" s="90"/>
      <c r="AX89" s="90"/>
      <c r="AY89" s="100"/>
      <c r="AZ89" s="90"/>
      <c r="BA89" s="90"/>
      <c r="BB89" s="100"/>
      <c r="BC89" s="100"/>
      <c r="BD89" s="111">
        <v>19</v>
      </c>
      <c r="BE89" s="112"/>
      <c r="BF89" s="69"/>
      <c r="BG89" s="69"/>
      <c r="BH89" s="69"/>
      <c r="BI89" s="69"/>
      <c r="BJ89" s="69"/>
      <c r="BK89" s="69"/>
      <c r="BL89" s="39" t="s">
        <v>8</v>
      </c>
    </row>
    <row r="90" spans="1:64" ht="36" customHeight="1" x14ac:dyDescent="0.3">
      <c r="A90" s="15">
        <v>88</v>
      </c>
      <c r="B90" s="16" t="s">
        <v>878</v>
      </c>
      <c r="C90" s="16" t="s">
        <v>879</v>
      </c>
      <c r="D90" s="15">
        <v>2021</v>
      </c>
      <c r="E90" s="17" t="s">
        <v>535</v>
      </c>
      <c r="F90" s="15" t="s">
        <v>536</v>
      </c>
      <c r="G90" s="19" t="s">
        <v>225</v>
      </c>
      <c r="H90" s="48">
        <v>50186400000</v>
      </c>
      <c r="I90" s="53">
        <v>305</v>
      </c>
      <c r="J90" s="48">
        <v>1974546885.2459016</v>
      </c>
      <c r="K90" s="18" t="s">
        <v>241</v>
      </c>
      <c r="L90" s="15" t="s">
        <v>158</v>
      </c>
      <c r="M90" s="15" t="s">
        <v>163</v>
      </c>
      <c r="N90" s="15" t="s">
        <v>90</v>
      </c>
      <c r="O90" s="15" t="s">
        <v>42</v>
      </c>
      <c r="P90" s="18" t="s">
        <v>6</v>
      </c>
      <c r="Q90" s="70">
        <v>4959</v>
      </c>
      <c r="R90" s="70">
        <v>2725.88</v>
      </c>
      <c r="S90" s="81">
        <v>34693.79</v>
      </c>
      <c r="T90" s="48">
        <v>4</v>
      </c>
      <c r="U90" s="53">
        <v>10</v>
      </c>
      <c r="V90" s="15" t="s">
        <v>18</v>
      </c>
      <c r="W90" s="18" t="s">
        <v>18</v>
      </c>
      <c r="X90" s="18" t="s">
        <v>64</v>
      </c>
      <c r="Y90" s="18"/>
      <c r="Z90" s="18" t="s">
        <v>1078</v>
      </c>
      <c r="AA90" s="18"/>
      <c r="AB90" s="18" t="s">
        <v>20</v>
      </c>
      <c r="AC90" s="18"/>
      <c r="AD90" s="18" t="s">
        <v>461</v>
      </c>
      <c r="AE90" s="18" t="s">
        <v>265</v>
      </c>
      <c r="AF90" s="18"/>
      <c r="AG90" s="85"/>
      <c r="AH90" s="18" t="s">
        <v>264</v>
      </c>
      <c r="AI90" s="85"/>
      <c r="AJ90" s="85"/>
      <c r="AK90" s="85"/>
      <c r="AL90" s="91">
        <f>SUM(AM90:AQ90)</f>
        <v>55564</v>
      </c>
      <c r="AM90" s="91">
        <f>16772+2317</f>
        <v>19089</v>
      </c>
      <c r="AN90" s="92"/>
      <c r="AO90" s="92"/>
      <c r="AP90" s="91">
        <f>2882</f>
        <v>2882</v>
      </c>
      <c r="AQ90" s="91">
        <f>19676+13917</f>
        <v>33593</v>
      </c>
      <c r="AR90" s="91">
        <f t="shared" si="7"/>
        <v>55564</v>
      </c>
      <c r="AS90" s="85"/>
      <c r="AT90" s="87">
        <v>408</v>
      </c>
      <c r="AU90" s="85"/>
      <c r="AV90" s="85"/>
      <c r="AW90" s="85"/>
      <c r="AX90" s="85"/>
      <c r="AY90" s="92"/>
      <c r="AZ90" s="85"/>
      <c r="BA90" s="85"/>
      <c r="BB90" s="91">
        <f>15495+5538+3333+8</f>
        <v>24374</v>
      </c>
      <c r="BC90" s="91">
        <f>95.694+15.742+141.934-8.71+340.986-27.703+12.927+1.346+6.872-0.079+6.013-0.083+5.302+2.344</f>
        <v>592.58500000000015</v>
      </c>
      <c r="BD90" s="101">
        <v>33</v>
      </c>
      <c r="BE90" s="102"/>
      <c r="BF90" s="79"/>
      <c r="BG90" s="79"/>
      <c r="BH90" s="79"/>
      <c r="BI90" s="79"/>
      <c r="BJ90" s="79"/>
      <c r="BK90" s="79"/>
      <c r="BL90" s="15"/>
    </row>
    <row r="91" spans="1:64" ht="36" customHeight="1" x14ac:dyDescent="0.3">
      <c r="A91" s="15">
        <v>89</v>
      </c>
      <c r="B91" s="16" t="s">
        <v>1033</v>
      </c>
      <c r="C91" s="15"/>
      <c r="D91" s="17">
        <v>2021</v>
      </c>
      <c r="E91" s="21" t="s">
        <v>200</v>
      </c>
      <c r="F91" s="21" t="s">
        <v>209</v>
      </c>
      <c r="G91" s="44" t="s">
        <v>687</v>
      </c>
      <c r="H91" s="53"/>
      <c r="I91" s="53"/>
      <c r="J91" s="53"/>
      <c r="K91" s="18" t="s">
        <v>36</v>
      </c>
      <c r="L91" s="17" t="s">
        <v>129</v>
      </c>
      <c r="M91" s="17" t="s">
        <v>147</v>
      </c>
      <c r="N91" s="17" t="s">
        <v>199</v>
      </c>
      <c r="O91" s="17" t="s">
        <v>42</v>
      </c>
      <c r="P91" s="21" t="s">
        <v>72</v>
      </c>
      <c r="Q91" s="76">
        <v>4177.8999999999996</v>
      </c>
      <c r="R91" s="70"/>
      <c r="S91" s="72">
        <v>16915.97</v>
      </c>
      <c r="T91" s="58">
        <v>3</v>
      </c>
      <c r="U91" s="59">
        <v>9</v>
      </c>
      <c r="V91" s="17" t="s">
        <v>16</v>
      </c>
      <c r="W91" s="15"/>
      <c r="X91" s="17" t="s">
        <v>9</v>
      </c>
      <c r="Y91" s="18"/>
      <c r="Z91" s="17"/>
      <c r="AA91" s="18"/>
      <c r="AB91" s="21" t="s">
        <v>33</v>
      </c>
      <c r="AC91" s="18" t="s">
        <v>20</v>
      </c>
      <c r="AD91" s="17"/>
      <c r="AE91" s="17"/>
      <c r="AF91" s="17"/>
      <c r="AG91" s="59"/>
      <c r="AH91" s="18"/>
      <c r="AI91" s="85"/>
      <c r="AJ91" s="85"/>
      <c r="AK91" s="85"/>
      <c r="AL91" s="99"/>
      <c r="AM91" s="60"/>
      <c r="AN91" s="60"/>
      <c r="AO91" s="60"/>
      <c r="AP91" s="60"/>
      <c r="AQ91" s="60"/>
      <c r="AR91" s="92">
        <f t="shared" si="7"/>
        <v>0</v>
      </c>
      <c r="AS91" s="85"/>
      <c r="AT91" s="85"/>
      <c r="AU91" s="85"/>
      <c r="AV91" s="85"/>
      <c r="AW91" s="85"/>
      <c r="AX91" s="85"/>
      <c r="AY91" s="92"/>
      <c r="AZ91" s="85"/>
      <c r="BA91" s="85"/>
      <c r="BB91" s="92"/>
      <c r="BC91" s="92"/>
      <c r="BD91" s="107">
        <v>20</v>
      </c>
      <c r="BE91" s="107"/>
      <c r="BF91" s="79"/>
      <c r="BG91" s="79"/>
      <c r="BH91" s="79"/>
      <c r="BI91" s="79"/>
      <c r="BJ91" s="79"/>
      <c r="BK91" s="79"/>
      <c r="BL91" s="21"/>
    </row>
    <row r="92" spans="1:64" ht="36" customHeight="1" x14ac:dyDescent="0.3">
      <c r="A92" s="15">
        <v>90</v>
      </c>
      <c r="B92" s="16" t="s">
        <v>880</v>
      </c>
      <c r="C92" s="16" t="s">
        <v>881</v>
      </c>
      <c r="D92" s="15">
        <v>2021</v>
      </c>
      <c r="E92" s="17" t="s">
        <v>329</v>
      </c>
      <c r="F92" s="15" t="s">
        <v>537</v>
      </c>
      <c r="G92" s="19" t="s">
        <v>225</v>
      </c>
      <c r="H92" s="48">
        <v>24397700000</v>
      </c>
      <c r="I92" s="53">
        <v>211</v>
      </c>
      <c r="J92" s="48">
        <v>1387546919.4312797</v>
      </c>
      <c r="K92" s="18" t="s">
        <v>241</v>
      </c>
      <c r="L92" s="15" t="s">
        <v>153</v>
      </c>
      <c r="M92" s="15" t="s">
        <v>154</v>
      </c>
      <c r="N92" s="15" t="s">
        <v>90</v>
      </c>
      <c r="O92" s="15" t="s">
        <v>42</v>
      </c>
      <c r="P92" s="15" t="s">
        <v>4</v>
      </c>
      <c r="Q92" s="70">
        <v>1922</v>
      </c>
      <c r="R92" s="70">
        <v>1093.73</v>
      </c>
      <c r="S92" s="81">
        <v>15281.15</v>
      </c>
      <c r="T92" s="48">
        <v>5</v>
      </c>
      <c r="U92" s="53">
        <v>14</v>
      </c>
      <c r="V92" s="15" t="s">
        <v>18</v>
      </c>
      <c r="W92" s="18" t="s">
        <v>18</v>
      </c>
      <c r="X92" s="18" t="s">
        <v>64</v>
      </c>
      <c r="Y92" s="18" t="s">
        <v>62</v>
      </c>
      <c r="Z92" s="18" t="s">
        <v>1076</v>
      </c>
      <c r="AA92" s="18" t="s">
        <v>41</v>
      </c>
      <c r="AB92" s="18" t="s">
        <v>20</v>
      </c>
      <c r="AC92" s="18"/>
      <c r="AD92" s="18" t="s">
        <v>1208</v>
      </c>
      <c r="AE92" s="18" t="s">
        <v>265</v>
      </c>
      <c r="AF92" s="18"/>
      <c r="AG92" s="85"/>
      <c r="AH92" s="18" t="s">
        <v>264</v>
      </c>
      <c r="AI92" s="85"/>
      <c r="AJ92" s="85"/>
      <c r="AK92" s="85"/>
      <c r="AL92" s="91">
        <f>SUM(AM92:AQ92)</f>
        <v>28787</v>
      </c>
      <c r="AM92" s="91">
        <f>6390+17556</f>
        <v>23946</v>
      </c>
      <c r="AN92" s="92"/>
      <c r="AO92" s="91">
        <v>4841</v>
      </c>
      <c r="AP92" s="92"/>
      <c r="AQ92" s="92"/>
      <c r="AR92" s="92">
        <f t="shared" si="7"/>
        <v>28787</v>
      </c>
      <c r="AS92" s="85"/>
      <c r="AT92" s="87">
        <v>162</v>
      </c>
      <c r="AU92" s="85"/>
      <c r="AV92" s="85"/>
      <c r="AW92" s="85"/>
      <c r="AX92" s="85"/>
      <c r="AY92" s="85"/>
      <c r="AZ92" s="85"/>
      <c r="BA92" s="85"/>
      <c r="BB92" s="87">
        <f>6212+5378</f>
        <v>11590</v>
      </c>
      <c r="BC92" s="87">
        <f>105.801+211.897+184.476+12.066+7.044+31.504</f>
        <v>552.78800000000001</v>
      </c>
      <c r="BD92" s="101">
        <v>23</v>
      </c>
      <c r="BE92" s="102">
        <f>669/30</f>
        <v>22.3</v>
      </c>
      <c r="BF92" s="79"/>
      <c r="BG92" s="79">
        <f>172/30</f>
        <v>5.7333333333333334</v>
      </c>
      <c r="BH92" s="79"/>
      <c r="BI92" s="79">
        <f>341/30</f>
        <v>11.366666666666667</v>
      </c>
      <c r="BJ92" s="79">
        <f>160/30</f>
        <v>5.333333333333333</v>
      </c>
      <c r="BK92" s="79">
        <f>197/30</f>
        <v>6.5666666666666664</v>
      </c>
      <c r="BL92" s="15"/>
    </row>
    <row r="93" spans="1:64" ht="36" customHeight="1" x14ac:dyDescent="0.3">
      <c r="A93" s="15">
        <v>91</v>
      </c>
      <c r="B93" s="16" t="s">
        <v>1034</v>
      </c>
      <c r="C93" s="15"/>
      <c r="D93" s="17">
        <v>2021</v>
      </c>
      <c r="E93" s="21" t="s">
        <v>330</v>
      </c>
      <c r="F93" s="21" t="s">
        <v>36</v>
      </c>
      <c r="G93" s="44" t="s">
        <v>687</v>
      </c>
      <c r="H93" s="48">
        <v>81840000000</v>
      </c>
      <c r="I93" s="53"/>
      <c r="J93" s="53"/>
      <c r="K93" s="21" t="s">
        <v>36</v>
      </c>
      <c r="L93" s="17" t="s">
        <v>160</v>
      </c>
      <c r="M93" s="17" t="s">
        <v>161</v>
      </c>
      <c r="N93" s="17" t="s">
        <v>90</v>
      </c>
      <c r="O93" s="17" t="s">
        <v>42</v>
      </c>
      <c r="P93" s="17" t="s">
        <v>7</v>
      </c>
      <c r="Q93" s="76">
        <v>13206.2</v>
      </c>
      <c r="R93" s="70"/>
      <c r="S93" s="72">
        <v>74163.710000000006</v>
      </c>
      <c r="T93" s="58">
        <v>1</v>
      </c>
      <c r="U93" s="59">
        <v>8</v>
      </c>
      <c r="V93" s="17" t="s">
        <v>498</v>
      </c>
      <c r="W93" s="17" t="s">
        <v>498</v>
      </c>
      <c r="X93" s="17" t="s">
        <v>9</v>
      </c>
      <c r="Y93" s="18"/>
      <c r="Z93" s="17"/>
      <c r="AA93" s="18"/>
      <c r="AB93" s="21" t="s">
        <v>33</v>
      </c>
      <c r="AC93" s="21" t="s">
        <v>1065</v>
      </c>
      <c r="AD93" s="17"/>
      <c r="AE93" s="17"/>
      <c r="AF93" s="17"/>
      <c r="AG93" s="59"/>
      <c r="AH93" s="18"/>
      <c r="AI93" s="85"/>
      <c r="AJ93" s="85"/>
      <c r="AK93" s="85"/>
      <c r="AL93" s="92"/>
      <c r="AM93" s="62"/>
      <c r="AN93" s="62"/>
      <c r="AO93" s="62"/>
      <c r="AP93" s="62"/>
      <c r="AQ93" s="62"/>
      <c r="AR93" s="92">
        <f t="shared" si="7"/>
        <v>0</v>
      </c>
      <c r="AS93" s="85"/>
      <c r="AT93" s="85"/>
      <c r="AU93" s="85"/>
      <c r="AV93" s="85"/>
      <c r="AW93" s="85"/>
      <c r="AX93" s="85"/>
      <c r="AY93" s="92"/>
      <c r="AZ93" s="85"/>
      <c r="BA93" s="85"/>
      <c r="BB93" s="92"/>
      <c r="BC93" s="92"/>
      <c r="BD93" s="107">
        <v>20</v>
      </c>
      <c r="BE93" s="107"/>
      <c r="BF93" s="79"/>
      <c r="BG93" s="79"/>
      <c r="BH93" s="79"/>
      <c r="BI93" s="79"/>
      <c r="BJ93" s="79"/>
      <c r="BK93" s="79"/>
      <c r="BL93" s="21" t="s">
        <v>11</v>
      </c>
    </row>
    <row r="94" spans="1:64" ht="36" customHeight="1" x14ac:dyDescent="0.3">
      <c r="A94" s="15">
        <v>92</v>
      </c>
      <c r="B94" s="16" t="s">
        <v>882</v>
      </c>
      <c r="C94" s="16" t="s">
        <v>883</v>
      </c>
      <c r="D94" s="15">
        <v>2021</v>
      </c>
      <c r="E94" s="17" t="s">
        <v>629</v>
      </c>
      <c r="F94" s="15" t="s">
        <v>538</v>
      </c>
      <c r="G94" s="19" t="s">
        <v>225</v>
      </c>
      <c r="H94" s="48">
        <v>53700000000</v>
      </c>
      <c r="I94" s="53">
        <v>226</v>
      </c>
      <c r="J94" s="48">
        <v>2851327433.6283183</v>
      </c>
      <c r="K94" s="18" t="s">
        <v>243</v>
      </c>
      <c r="L94" s="15" t="s">
        <v>156</v>
      </c>
      <c r="M94" s="15" t="s">
        <v>162</v>
      </c>
      <c r="N94" s="15" t="s">
        <v>90</v>
      </c>
      <c r="O94" s="15" t="s">
        <v>42</v>
      </c>
      <c r="P94" s="15" t="s">
        <v>7</v>
      </c>
      <c r="Q94" s="70">
        <v>29509</v>
      </c>
      <c r="R94" s="70">
        <v>11800.58</v>
      </c>
      <c r="S94" s="81">
        <v>45267.76</v>
      </c>
      <c r="T94" s="48">
        <v>2</v>
      </c>
      <c r="U94" s="53">
        <v>4</v>
      </c>
      <c r="V94" s="15" t="s">
        <v>24</v>
      </c>
      <c r="W94" s="18" t="s">
        <v>24</v>
      </c>
      <c r="X94" s="18" t="s">
        <v>9</v>
      </c>
      <c r="Y94" s="18"/>
      <c r="Z94" s="18"/>
      <c r="AA94" s="18"/>
      <c r="AB94" s="18" t="s">
        <v>1066</v>
      </c>
      <c r="AC94" s="18" t="s">
        <v>1063</v>
      </c>
      <c r="AD94" s="18" t="s">
        <v>1082</v>
      </c>
      <c r="AE94" s="17"/>
      <c r="AF94" s="17"/>
      <c r="AG94" s="59"/>
      <c r="AH94" s="18" t="s">
        <v>285</v>
      </c>
      <c r="AI94" s="85"/>
      <c r="AJ94" s="85"/>
      <c r="AK94" s="85"/>
      <c r="AL94" s="92"/>
      <c r="AM94" s="92"/>
      <c r="AN94" s="92"/>
      <c r="AO94" s="92"/>
      <c r="AP94" s="92"/>
      <c r="AQ94" s="92"/>
      <c r="AR94" s="92">
        <f t="shared" ref="AR94:AR125" si="9">AL94</f>
        <v>0</v>
      </c>
      <c r="AS94" s="85"/>
      <c r="AT94" s="85"/>
      <c r="AU94" s="85"/>
      <c r="AV94" s="85"/>
      <c r="AW94" s="85"/>
      <c r="AX94" s="85"/>
      <c r="AY94" s="92"/>
      <c r="AZ94" s="85"/>
      <c r="BA94" s="85"/>
      <c r="BB94" s="92"/>
      <c r="BC94" s="92"/>
      <c r="BD94" s="101">
        <v>17</v>
      </c>
      <c r="BE94" s="102">
        <v>17</v>
      </c>
      <c r="BF94" s="79"/>
      <c r="BG94" s="79">
        <v>5</v>
      </c>
      <c r="BH94" s="79">
        <v>8</v>
      </c>
      <c r="BI94" s="79">
        <v>12</v>
      </c>
      <c r="BJ94" s="79">
        <v>5</v>
      </c>
      <c r="BK94" s="79">
        <v>5</v>
      </c>
      <c r="BL94" s="15"/>
    </row>
    <row r="95" spans="1:64" ht="36" customHeight="1" x14ac:dyDescent="0.3">
      <c r="A95" s="15">
        <v>93</v>
      </c>
      <c r="B95" s="16" t="s">
        <v>884</v>
      </c>
      <c r="C95" s="16" t="s">
        <v>885</v>
      </c>
      <c r="D95" s="15">
        <v>2021</v>
      </c>
      <c r="E95" s="17" t="s">
        <v>12</v>
      </c>
      <c r="F95" s="15" t="s">
        <v>589</v>
      </c>
      <c r="G95" s="19" t="s">
        <v>225</v>
      </c>
      <c r="H95" s="48">
        <v>65545454545</v>
      </c>
      <c r="I95" s="53">
        <v>280</v>
      </c>
      <c r="J95" s="48">
        <v>2809090909.0714283</v>
      </c>
      <c r="K95" s="18" t="s">
        <v>241</v>
      </c>
      <c r="L95" s="15" t="s">
        <v>120</v>
      </c>
      <c r="M95" s="15" t="s">
        <v>159</v>
      </c>
      <c r="N95" s="15" t="s">
        <v>90</v>
      </c>
      <c r="O95" s="15" t="s">
        <v>42</v>
      </c>
      <c r="P95" s="15" t="s">
        <v>6</v>
      </c>
      <c r="Q95" s="70">
        <v>6363</v>
      </c>
      <c r="R95" s="70">
        <v>1693.32</v>
      </c>
      <c r="S95" s="81">
        <v>17939.77</v>
      </c>
      <c r="T95" s="48">
        <v>4</v>
      </c>
      <c r="U95" s="53">
        <v>4</v>
      </c>
      <c r="V95" s="15" t="s">
        <v>18</v>
      </c>
      <c r="W95" s="18" t="s">
        <v>18</v>
      </c>
      <c r="X95" s="18" t="s">
        <v>9</v>
      </c>
      <c r="Y95" s="18"/>
      <c r="Z95" s="18"/>
      <c r="AA95" s="18"/>
      <c r="AB95" s="18" t="s">
        <v>456</v>
      </c>
      <c r="AC95" s="18"/>
      <c r="AD95" s="17"/>
      <c r="AE95" s="17"/>
      <c r="AF95" s="17"/>
      <c r="AG95" s="59"/>
      <c r="AH95" s="18"/>
      <c r="AI95" s="85"/>
      <c r="AJ95" s="85"/>
      <c r="AK95" s="85"/>
      <c r="AL95" s="91">
        <f>SUM(AM95:AQ95)</f>
        <v>71027</v>
      </c>
      <c r="AM95" s="91">
        <f>6728+22966</f>
        <v>29694</v>
      </c>
      <c r="AN95" s="92"/>
      <c r="AO95" s="91">
        <v>15299</v>
      </c>
      <c r="AP95" s="91">
        <f>4808+2020</f>
        <v>6828</v>
      </c>
      <c r="AQ95" s="91">
        <f>9762+9444</f>
        <v>19206</v>
      </c>
      <c r="AR95" s="92">
        <f t="shared" si="9"/>
        <v>71027</v>
      </c>
      <c r="AS95" s="85"/>
      <c r="AT95" s="85">
        <v>206</v>
      </c>
      <c r="AU95" s="85"/>
      <c r="AV95" s="85">
        <v>238</v>
      </c>
      <c r="AW95" s="85">
        <v>16</v>
      </c>
      <c r="AX95" s="85"/>
      <c r="AY95" s="92"/>
      <c r="AZ95" s="85"/>
      <c r="BA95" s="85"/>
      <c r="BB95" s="92"/>
      <c r="BC95" s="92"/>
      <c r="BD95" s="101">
        <v>26</v>
      </c>
      <c r="BE95" s="102"/>
      <c r="BF95" s="79"/>
      <c r="BG95" s="79"/>
      <c r="BH95" s="79"/>
      <c r="BI95" s="79"/>
      <c r="BJ95" s="79"/>
      <c r="BK95" s="79"/>
      <c r="BL95" s="15" t="s">
        <v>13</v>
      </c>
    </row>
    <row r="96" spans="1:64" ht="36" customHeight="1" x14ac:dyDescent="0.3">
      <c r="A96" s="15">
        <v>94</v>
      </c>
      <c r="B96" s="16" t="s">
        <v>886</v>
      </c>
      <c r="C96" s="16" t="s">
        <v>887</v>
      </c>
      <c r="D96" s="15">
        <v>2021</v>
      </c>
      <c r="E96" s="17" t="s">
        <v>590</v>
      </c>
      <c r="F96" s="15" t="s">
        <v>591</v>
      </c>
      <c r="G96" s="19" t="s">
        <v>225</v>
      </c>
      <c r="H96" s="48">
        <v>58412600000</v>
      </c>
      <c r="I96" s="53">
        <v>257</v>
      </c>
      <c r="J96" s="48">
        <v>2727436575.8754864</v>
      </c>
      <c r="K96" s="18" t="s">
        <v>241</v>
      </c>
      <c r="L96" s="15" t="s">
        <v>153</v>
      </c>
      <c r="M96" s="15" t="s">
        <v>154</v>
      </c>
      <c r="N96" s="15" t="s">
        <v>90</v>
      </c>
      <c r="O96" s="15" t="s">
        <v>42</v>
      </c>
      <c r="P96" s="18" t="s">
        <v>4</v>
      </c>
      <c r="Q96" s="70">
        <v>6362</v>
      </c>
      <c r="R96" s="70">
        <v>3131.26</v>
      </c>
      <c r="S96" s="81">
        <v>36315.25</v>
      </c>
      <c r="T96" s="48">
        <v>3</v>
      </c>
      <c r="U96" s="53">
        <v>12</v>
      </c>
      <c r="V96" s="15" t="s">
        <v>16</v>
      </c>
      <c r="W96" s="18" t="s">
        <v>16</v>
      </c>
      <c r="X96" s="18" t="s">
        <v>9</v>
      </c>
      <c r="Y96" s="18"/>
      <c r="Z96" s="18"/>
      <c r="AA96" s="18"/>
      <c r="AB96" s="18" t="s">
        <v>33</v>
      </c>
      <c r="AC96" s="18" t="s">
        <v>20</v>
      </c>
      <c r="AD96" s="17"/>
      <c r="AE96" s="17"/>
      <c r="AF96" s="17"/>
      <c r="AG96" s="59"/>
      <c r="AH96" s="18"/>
      <c r="AI96" s="85"/>
      <c r="AJ96" s="85"/>
      <c r="AK96" s="85"/>
      <c r="AL96" s="91">
        <f>SUM(AM96:AQ96)</f>
        <v>60298</v>
      </c>
      <c r="AM96" s="91">
        <v>51079</v>
      </c>
      <c r="AN96" s="92"/>
      <c r="AO96" s="91">
        <v>6478</v>
      </c>
      <c r="AP96" s="91">
        <v>2741</v>
      </c>
      <c r="AQ96" s="92"/>
      <c r="AR96" s="92">
        <f t="shared" si="9"/>
        <v>60298</v>
      </c>
      <c r="AS96" s="85"/>
      <c r="AT96" s="87">
        <v>388</v>
      </c>
      <c r="AU96" s="85"/>
      <c r="AV96" s="85"/>
      <c r="AW96" s="85"/>
      <c r="AX96" s="85"/>
      <c r="AY96" s="85"/>
      <c r="AZ96" s="85"/>
      <c r="BA96" s="85"/>
      <c r="BB96" s="87">
        <f>14279+9552+518+29</f>
        <v>24378</v>
      </c>
      <c r="BC96" s="85"/>
      <c r="BD96" s="101">
        <v>34</v>
      </c>
      <c r="BE96" s="102"/>
      <c r="BF96" s="79"/>
      <c r="BG96" s="79"/>
      <c r="BH96" s="79"/>
      <c r="BI96" s="79"/>
      <c r="BJ96" s="79"/>
      <c r="BK96" s="79"/>
      <c r="BL96" s="15" t="s">
        <v>459</v>
      </c>
    </row>
    <row r="97" spans="1:64" ht="36" customHeight="1" x14ac:dyDescent="0.3">
      <c r="A97" s="15">
        <v>95</v>
      </c>
      <c r="B97" s="16" t="s">
        <v>888</v>
      </c>
      <c r="C97" s="16" t="s">
        <v>889</v>
      </c>
      <c r="D97" s="15">
        <v>2021</v>
      </c>
      <c r="E97" s="17" t="s">
        <v>539</v>
      </c>
      <c r="F97" s="15" t="s">
        <v>540</v>
      </c>
      <c r="G97" s="19" t="s">
        <v>225</v>
      </c>
      <c r="H97" s="48">
        <v>47040000000</v>
      </c>
      <c r="I97" s="53"/>
      <c r="J97" s="53"/>
      <c r="K97" s="18" t="s">
        <v>241</v>
      </c>
      <c r="L97" s="15" t="s">
        <v>93</v>
      </c>
      <c r="M97" s="15" t="s">
        <v>102</v>
      </c>
      <c r="N97" s="15" t="s">
        <v>199</v>
      </c>
      <c r="O97" s="15" t="s">
        <v>42</v>
      </c>
      <c r="P97" s="18" t="s">
        <v>4</v>
      </c>
      <c r="Q97" s="70">
        <v>1634</v>
      </c>
      <c r="R97" s="70">
        <v>902.54</v>
      </c>
      <c r="S97" s="81">
        <v>10201.469999999999</v>
      </c>
      <c r="T97" s="48">
        <v>5</v>
      </c>
      <c r="U97" s="53">
        <v>16</v>
      </c>
      <c r="V97" s="15" t="s">
        <v>18</v>
      </c>
      <c r="W97" s="15" t="s">
        <v>18</v>
      </c>
      <c r="X97" s="18" t="s">
        <v>64</v>
      </c>
      <c r="Y97" s="18" t="s">
        <v>341</v>
      </c>
      <c r="Z97" s="18" t="s">
        <v>1078</v>
      </c>
      <c r="AA97" s="18" t="s">
        <v>1053</v>
      </c>
      <c r="AB97" s="18" t="s">
        <v>20</v>
      </c>
      <c r="AC97" s="18" t="s">
        <v>1067</v>
      </c>
      <c r="AD97" s="18" t="s">
        <v>1096</v>
      </c>
      <c r="AE97" s="18" t="s">
        <v>265</v>
      </c>
      <c r="AF97" s="18"/>
      <c r="AG97" s="85"/>
      <c r="AH97" s="18" t="s">
        <v>264</v>
      </c>
      <c r="AI97" s="85"/>
      <c r="AJ97" s="85"/>
      <c r="AK97" s="85"/>
      <c r="AL97" s="91">
        <f>SUM(AM97:AQ97)</f>
        <v>33336</v>
      </c>
      <c r="AM97" s="91">
        <f>4522+4913</f>
        <v>9435</v>
      </c>
      <c r="AN97" s="92"/>
      <c r="AO97" s="91">
        <v>1707</v>
      </c>
      <c r="AP97" s="91">
        <v>22194</v>
      </c>
      <c r="AQ97" s="92"/>
      <c r="AR97" s="92">
        <f t="shared" si="9"/>
        <v>33336</v>
      </c>
      <c r="AS97" s="85"/>
      <c r="AT97" s="87">
        <v>190</v>
      </c>
      <c r="AU97" s="85"/>
      <c r="AV97" s="87">
        <v>19</v>
      </c>
      <c r="AW97" s="85"/>
      <c r="AX97" s="85"/>
      <c r="AY97" s="85"/>
      <c r="AZ97" s="85"/>
      <c r="BA97" s="85"/>
      <c r="BB97" s="87">
        <f>7380-15+776+5270+53</f>
        <v>13464</v>
      </c>
      <c r="BC97" s="87">
        <f>227.739-0.189+87.605+9.04+391.084+38.008+209.568+8.177+125.092+18.193+522.853+20.277+6.587</f>
        <v>1664.0340000000001</v>
      </c>
      <c r="BD97" s="102">
        <v>37</v>
      </c>
      <c r="BE97" s="102"/>
      <c r="BF97" s="79"/>
      <c r="BG97" s="79">
        <v>12</v>
      </c>
      <c r="BH97" s="79"/>
      <c r="BI97" s="79">
        <v>18</v>
      </c>
      <c r="BJ97" s="79">
        <v>5.5</v>
      </c>
      <c r="BK97" s="79">
        <v>8</v>
      </c>
      <c r="BL97" s="15" t="s">
        <v>460</v>
      </c>
    </row>
    <row r="98" spans="1:64" ht="36" customHeight="1" x14ac:dyDescent="0.3">
      <c r="A98" s="15">
        <v>96</v>
      </c>
      <c r="B98" s="16" t="s">
        <v>1035</v>
      </c>
      <c r="C98" s="15"/>
      <c r="D98" s="15">
        <v>2021</v>
      </c>
      <c r="E98" s="17" t="s">
        <v>15</v>
      </c>
      <c r="F98" s="21" t="s">
        <v>36</v>
      </c>
      <c r="G98" s="44" t="s">
        <v>687</v>
      </c>
      <c r="H98" s="48">
        <v>136900000000</v>
      </c>
      <c r="I98" s="53"/>
      <c r="J98" s="53"/>
      <c r="K98" s="21" t="s">
        <v>36</v>
      </c>
      <c r="L98" s="17" t="s">
        <v>164</v>
      </c>
      <c r="M98" s="17" t="s">
        <v>36</v>
      </c>
      <c r="N98" s="17" t="s">
        <v>90</v>
      </c>
      <c r="O98" s="17" t="s">
        <v>42</v>
      </c>
      <c r="P98" s="17" t="s">
        <v>57</v>
      </c>
      <c r="Q98" s="76">
        <v>47158.81</v>
      </c>
      <c r="R98" s="70"/>
      <c r="S98" s="72">
        <v>98369.24</v>
      </c>
      <c r="T98" s="58">
        <v>1</v>
      </c>
      <c r="U98" s="59">
        <v>4</v>
      </c>
      <c r="V98" s="17" t="s">
        <v>16</v>
      </c>
      <c r="W98" s="30"/>
      <c r="X98" s="17"/>
      <c r="Y98" s="18"/>
      <c r="Z98" s="18"/>
      <c r="AA98" s="18"/>
      <c r="AB98" s="18"/>
      <c r="AC98" s="18"/>
      <c r="AD98" s="17"/>
      <c r="AE98" s="17"/>
      <c r="AF98" s="17"/>
      <c r="AG98" s="59"/>
      <c r="AH98" s="18"/>
      <c r="AI98" s="85"/>
      <c r="AJ98" s="85"/>
      <c r="AK98" s="85"/>
      <c r="AL98" s="92"/>
      <c r="AM98" s="62"/>
      <c r="AN98" s="62"/>
      <c r="AO98" s="62"/>
      <c r="AP98" s="62"/>
      <c r="AQ98" s="62"/>
      <c r="AR98" s="92">
        <f t="shared" si="9"/>
        <v>0</v>
      </c>
      <c r="AS98" s="85"/>
      <c r="AT98" s="85"/>
      <c r="AU98" s="85"/>
      <c r="AV98" s="85"/>
      <c r="AW98" s="85"/>
      <c r="AX98" s="85"/>
      <c r="AY98" s="92"/>
      <c r="AZ98" s="85"/>
      <c r="BA98" s="85"/>
      <c r="BB98" s="92"/>
      <c r="BC98" s="92"/>
      <c r="BD98" s="107">
        <v>25</v>
      </c>
      <c r="BE98" s="107"/>
      <c r="BF98" s="79"/>
      <c r="BG98" s="79"/>
      <c r="BH98" s="79"/>
      <c r="BI98" s="79"/>
      <c r="BJ98" s="79"/>
      <c r="BK98" s="79"/>
      <c r="BL98" s="21"/>
    </row>
    <row r="99" spans="1:64" ht="36" customHeight="1" x14ac:dyDescent="0.3">
      <c r="A99" s="36">
        <v>97</v>
      </c>
      <c r="B99" s="37" t="s">
        <v>890</v>
      </c>
      <c r="C99" s="36"/>
      <c r="D99" s="36">
        <v>2021</v>
      </c>
      <c r="E99" s="36" t="s">
        <v>210</v>
      </c>
      <c r="F99" s="37" t="s">
        <v>211</v>
      </c>
      <c r="G99" s="38" t="s">
        <v>687</v>
      </c>
      <c r="H99" s="48">
        <v>382610000000</v>
      </c>
      <c r="I99" s="57"/>
      <c r="J99" s="57"/>
      <c r="K99" s="37" t="s">
        <v>36</v>
      </c>
      <c r="L99" s="36" t="s">
        <v>156</v>
      </c>
      <c r="M99" s="36" t="s">
        <v>36</v>
      </c>
      <c r="N99" s="36" t="s">
        <v>90</v>
      </c>
      <c r="O99" s="36" t="s">
        <v>42</v>
      </c>
      <c r="P99" s="36" t="s">
        <v>14</v>
      </c>
      <c r="Q99" s="74">
        <v>1420704.3</v>
      </c>
      <c r="R99" s="74"/>
      <c r="S99" s="83">
        <v>54238.879999999997</v>
      </c>
      <c r="T99" s="61">
        <v>1</v>
      </c>
      <c r="U99" s="57">
        <v>11</v>
      </c>
      <c r="V99" s="36"/>
      <c r="W99" s="36"/>
      <c r="X99" s="36" t="s">
        <v>9</v>
      </c>
      <c r="Y99" s="37"/>
      <c r="Z99" s="37"/>
      <c r="AA99" s="37"/>
      <c r="AB99" s="36" t="s">
        <v>1057</v>
      </c>
      <c r="AC99" s="37"/>
      <c r="AD99" s="36"/>
      <c r="AE99" s="36"/>
      <c r="AF99" s="36"/>
      <c r="AG99" s="57"/>
      <c r="AH99" s="37"/>
      <c r="AI99" s="89"/>
      <c r="AJ99" s="89"/>
      <c r="AK99" s="89"/>
      <c r="AL99" s="99"/>
      <c r="AM99" s="60"/>
      <c r="AN99" s="60"/>
      <c r="AO99" s="60"/>
      <c r="AP99" s="60"/>
      <c r="AQ99" s="60"/>
      <c r="AR99" s="92">
        <f t="shared" si="9"/>
        <v>0</v>
      </c>
      <c r="AS99" s="89"/>
      <c r="AT99" s="89"/>
      <c r="AU99" s="89"/>
      <c r="AV99" s="89"/>
      <c r="AW99" s="89"/>
      <c r="AX99" s="89"/>
      <c r="AY99" s="99"/>
      <c r="AZ99" s="89"/>
      <c r="BA99" s="89"/>
      <c r="BB99" s="99"/>
      <c r="BC99" s="99"/>
      <c r="BD99" s="110">
        <v>25</v>
      </c>
      <c r="BE99" s="110"/>
      <c r="BF99" s="80"/>
      <c r="BG99" s="80"/>
      <c r="BH99" s="80"/>
      <c r="BI99" s="80"/>
      <c r="BJ99" s="80"/>
      <c r="BK99" s="80"/>
      <c r="BL99" s="37"/>
    </row>
    <row r="100" spans="1:64" ht="36" customHeight="1" x14ac:dyDescent="0.3">
      <c r="A100" s="15">
        <v>98</v>
      </c>
      <c r="B100" s="16" t="s">
        <v>891</v>
      </c>
      <c r="C100" s="16" t="s">
        <v>892</v>
      </c>
      <c r="D100" s="15">
        <v>2021</v>
      </c>
      <c r="E100" s="17" t="s">
        <v>592</v>
      </c>
      <c r="F100" s="15" t="s">
        <v>675</v>
      </c>
      <c r="G100" s="19" t="s">
        <v>225</v>
      </c>
      <c r="H100" s="48">
        <v>60156000000</v>
      </c>
      <c r="I100" s="53">
        <v>413</v>
      </c>
      <c r="J100" s="48">
        <v>1750000000</v>
      </c>
      <c r="K100" s="18" t="s">
        <v>241</v>
      </c>
      <c r="L100" s="15" t="s">
        <v>93</v>
      </c>
      <c r="M100" s="15" t="s">
        <v>94</v>
      </c>
      <c r="N100" s="15" t="s">
        <v>199</v>
      </c>
      <c r="O100" s="15" t="s">
        <v>42</v>
      </c>
      <c r="P100" s="18" t="s">
        <v>57</v>
      </c>
      <c r="Q100" s="70">
        <v>2627.76</v>
      </c>
      <c r="R100" s="70">
        <v>1428.63</v>
      </c>
      <c r="S100" s="81">
        <v>25284.69</v>
      </c>
      <c r="T100" s="48">
        <v>6</v>
      </c>
      <c r="U100" s="53">
        <v>13</v>
      </c>
      <c r="V100" s="15" t="s">
        <v>18</v>
      </c>
      <c r="W100" s="18" t="s">
        <v>18</v>
      </c>
      <c r="X100" s="18" t="s">
        <v>64</v>
      </c>
      <c r="Y100" s="18" t="s">
        <v>62</v>
      </c>
      <c r="Z100" s="18" t="s">
        <v>1074</v>
      </c>
      <c r="AA100" s="18" t="s">
        <v>41</v>
      </c>
      <c r="AB100" s="18" t="s">
        <v>456</v>
      </c>
      <c r="AC100" s="18"/>
      <c r="AD100" s="18" t="s">
        <v>457</v>
      </c>
      <c r="AE100" s="18" t="s">
        <v>265</v>
      </c>
      <c r="AF100" s="18"/>
      <c r="AG100" s="85"/>
      <c r="AH100" s="18" t="s">
        <v>264</v>
      </c>
      <c r="AI100" s="85"/>
      <c r="AJ100" s="85"/>
      <c r="AK100" s="85"/>
      <c r="AL100" s="92">
        <f>SUM(AM100:AQ100)</f>
        <v>70816</v>
      </c>
      <c r="AM100" s="92">
        <v>47979</v>
      </c>
      <c r="AN100" s="92">
        <v>809</v>
      </c>
      <c r="AO100" s="92">
        <v>809</v>
      </c>
      <c r="AP100" s="92">
        <v>21219</v>
      </c>
      <c r="AQ100" s="92"/>
      <c r="AR100" s="92">
        <f t="shared" si="9"/>
        <v>70816</v>
      </c>
      <c r="AS100" s="85"/>
      <c r="AT100" s="85"/>
      <c r="AU100" s="85"/>
      <c r="AV100" s="85"/>
      <c r="AW100" s="85">
        <v>29</v>
      </c>
      <c r="AX100" s="85"/>
      <c r="AY100" s="92"/>
      <c r="AZ100" s="85"/>
      <c r="BA100" s="85"/>
      <c r="BB100" s="92">
        <v>20489</v>
      </c>
      <c r="BC100" s="92"/>
      <c r="BD100" s="102">
        <v>41</v>
      </c>
      <c r="BE100" s="102"/>
      <c r="BF100" s="79"/>
      <c r="BG100" s="79">
        <v>12.5</v>
      </c>
      <c r="BH100" s="79"/>
      <c r="BI100" s="79">
        <v>14</v>
      </c>
      <c r="BJ100" s="79">
        <v>4.5</v>
      </c>
      <c r="BK100" s="79">
        <v>7.5</v>
      </c>
      <c r="BL100" s="18" t="s">
        <v>458</v>
      </c>
    </row>
    <row r="101" spans="1:64" ht="36" customHeight="1" x14ac:dyDescent="0.3">
      <c r="A101" s="15">
        <v>99</v>
      </c>
      <c r="B101" s="16" t="s">
        <v>1036</v>
      </c>
      <c r="C101" s="15"/>
      <c r="D101" s="15">
        <v>2021</v>
      </c>
      <c r="E101" s="21" t="s">
        <v>17</v>
      </c>
      <c r="F101" s="21" t="s">
        <v>675</v>
      </c>
      <c r="G101" s="44" t="s">
        <v>687</v>
      </c>
      <c r="H101" s="48">
        <v>9830000000</v>
      </c>
      <c r="I101" s="53"/>
      <c r="J101" s="53"/>
      <c r="K101" s="18" t="s">
        <v>36</v>
      </c>
      <c r="L101" s="17" t="s">
        <v>93</v>
      </c>
      <c r="M101" s="17" t="s">
        <v>94</v>
      </c>
      <c r="N101" s="17" t="s">
        <v>199</v>
      </c>
      <c r="O101" s="17" t="s">
        <v>42</v>
      </c>
      <c r="P101" s="18" t="s">
        <v>57</v>
      </c>
      <c r="Q101" s="76">
        <v>661.1</v>
      </c>
      <c r="R101" s="70"/>
      <c r="S101" s="72">
        <v>3430.58</v>
      </c>
      <c r="T101" s="58">
        <v>2</v>
      </c>
      <c r="U101" s="59">
        <v>7</v>
      </c>
      <c r="V101" s="17" t="s">
        <v>18</v>
      </c>
      <c r="W101" s="15"/>
      <c r="X101" s="17" t="s">
        <v>9</v>
      </c>
      <c r="Y101" s="18"/>
      <c r="Z101" s="17"/>
      <c r="AA101" s="18"/>
      <c r="AB101" s="17" t="s">
        <v>33</v>
      </c>
      <c r="AC101" s="17" t="s">
        <v>20</v>
      </c>
      <c r="AD101" s="17"/>
      <c r="AE101" s="17"/>
      <c r="AF101" s="17"/>
      <c r="AG101" s="59"/>
      <c r="AH101" s="18"/>
      <c r="AI101" s="85"/>
      <c r="AJ101" s="85"/>
      <c r="AK101" s="85"/>
      <c r="AL101" s="92"/>
      <c r="AM101" s="62"/>
      <c r="AN101" s="62"/>
      <c r="AO101" s="62"/>
      <c r="AP101" s="62"/>
      <c r="AQ101" s="62"/>
      <c r="AR101" s="92">
        <f t="shared" si="9"/>
        <v>0</v>
      </c>
      <c r="AS101" s="85"/>
      <c r="AT101" s="85"/>
      <c r="AU101" s="85"/>
      <c r="AV101" s="85"/>
      <c r="AW101" s="85"/>
      <c r="AX101" s="85"/>
      <c r="AY101" s="92"/>
      <c r="AZ101" s="85"/>
      <c r="BA101" s="85"/>
      <c r="BB101" s="92"/>
      <c r="BC101" s="92"/>
      <c r="BD101" s="107">
        <v>12</v>
      </c>
      <c r="BE101" s="107"/>
      <c r="BF101" s="79"/>
      <c r="BG101" s="79"/>
      <c r="BH101" s="79"/>
      <c r="BI101" s="79"/>
      <c r="BJ101" s="79"/>
      <c r="BK101" s="79"/>
      <c r="BL101" s="21"/>
    </row>
    <row r="102" spans="1:64" ht="36" customHeight="1" x14ac:dyDescent="0.3">
      <c r="A102" s="15">
        <v>100</v>
      </c>
      <c r="B102" s="16" t="s">
        <v>893</v>
      </c>
      <c r="C102" s="16" t="s">
        <v>894</v>
      </c>
      <c r="D102" s="15">
        <v>2021</v>
      </c>
      <c r="E102" s="17" t="s">
        <v>454</v>
      </c>
      <c r="F102" s="15" t="s">
        <v>541</v>
      </c>
      <c r="G102" s="19" t="s">
        <v>225</v>
      </c>
      <c r="H102" s="48">
        <v>165071458397</v>
      </c>
      <c r="I102" s="53">
        <v>549</v>
      </c>
      <c r="J102" s="48">
        <v>3608119309.2240438</v>
      </c>
      <c r="K102" s="18" t="s">
        <v>241</v>
      </c>
      <c r="L102" s="15" t="s">
        <v>153</v>
      </c>
      <c r="M102" s="15" t="s">
        <v>154</v>
      </c>
      <c r="N102" s="15" t="s">
        <v>90</v>
      </c>
      <c r="O102" s="15" t="s">
        <v>42</v>
      </c>
      <c r="P102" s="18" t="s">
        <v>4</v>
      </c>
      <c r="Q102" s="70">
        <v>11996</v>
      </c>
      <c r="R102" s="70">
        <v>6070.18</v>
      </c>
      <c r="S102" s="81">
        <v>54725.26</v>
      </c>
      <c r="T102" s="48">
        <v>4</v>
      </c>
      <c r="U102" s="53">
        <v>6</v>
      </c>
      <c r="V102" s="15" t="s">
        <v>16</v>
      </c>
      <c r="W102" s="18" t="s">
        <v>18</v>
      </c>
      <c r="X102" s="18" t="s">
        <v>64</v>
      </c>
      <c r="Y102" s="18" t="s">
        <v>62</v>
      </c>
      <c r="Z102" s="18" t="s">
        <v>1078</v>
      </c>
      <c r="AA102" s="18" t="s">
        <v>41</v>
      </c>
      <c r="AB102" s="18" t="s">
        <v>456</v>
      </c>
      <c r="AC102" s="18"/>
      <c r="AD102" s="18" t="s">
        <v>457</v>
      </c>
      <c r="AE102" s="18" t="s">
        <v>265</v>
      </c>
      <c r="AF102" s="18"/>
      <c r="AG102" s="85"/>
      <c r="AH102" s="18" t="s">
        <v>285</v>
      </c>
      <c r="AI102" s="85"/>
      <c r="AJ102" s="85"/>
      <c r="AK102" s="85"/>
      <c r="AL102" s="91">
        <f>SUM(AM102:AQ102)</f>
        <v>190664</v>
      </c>
      <c r="AM102" s="91">
        <f>40476+86949</f>
        <v>127425</v>
      </c>
      <c r="AN102" s="92"/>
      <c r="AO102" s="91">
        <v>11656</v>
      </c>
      <c r="AP102" s="91">
        <f>5412+16004+7313</f>
        <v>28729</v>
      </c>
      <c r="AQ102" s="91">
        <f>21011+1843</f>
        <v>22854</v>
      </c>
      <c r="AR102" s="92">
        <f t="shared" si="9"/>
        <v>190664</v>
      </c>
      <c r="AS102" s="85"/>
      <c r="AT102" s="87">
        <v>544</v>
      </c>
      <c r="AU102" s="85"/>
      <c r="AV102" s="87">
        <v>153</v>
      </c>
      <c r="AW102" s="85"/>
      <c r="AX102" s="85"/>
      <c r="AY102" s="85"/>
      <c r="AZ102" s="85"/>
      <c r="BA102" s="85"/>
      <c r="BB102" s="87">
        <f>26749+6756+4889</f>
        <v>38394</v>
      </c>
      <c r="BC102" s="87">
        <f>21.408+17.434+9.496+87.471+1.463+1377.761+780.742+785.097+295.697+136.041+797.69+192.015</f>
        <v>4502.3149999999996</v>
      </c>
      <c r="BD102" s="101">
        <v>31</v>
      </c>
      <c r="BE102" s="102">
        <f>933/30</f>
        <v>31.1</v>
      </c>
      <c r="BF102" s="79"/>
      <c r="BG102" s="79">
        <v>19</v>
      </c>
      <c r="BH102" s="79"/>
      <c r="BI102" s="79">
        <v>17</v>
      </c>
      <c r="BJ102" s="79">
        <v>9</v>
      </c>
      <c r="BK102" s="79">
        <v>10</v>
      </c>
      <c r="BL102" s="18" t="s">
        <v>676</v>
      </c>
    </row>
    <row r="103" spans="1:64" ht="36" customHeight="1" x14ac:dyDescent="0.3">
      <c r="A103" s="15">
        <v>101</v>
      </c>
      <c r="B103" s="16" t="s">
        <v>1037</v>
      </c>
      <c r="C103" s="15"/>
      <c r="D103" s="15">
        <v>2021</v>
      </c>
      <c r="E103" s="21" t="s">
        <v>630</v>
      </c>
      <c r="F103" s="21" t="s">
        <v>395</v>
      </c>
      <c r="G103" s="44" t="s">
        <v>687</v>
      </c>
      <c r="H103" s="48">
        <v>38970000000</v>
      </c>
      <c r="I103" s="53"/>
      <c r="J103" s="53"/>
      <c r="K103" s="18" t="s">
        <v>36</v>
      </c>
      <c r="L103" s="17" t="s">
        <v>156</v>
      </c>
      <c r="M103" s="17" t="s">
        <v>165</v>
      </c>
      <c r="N103" s="17" t="s">
        <v>90</v>
      </c>
      <c r="O103" s="17" t="s">
        <v>42</v>
      </c>
      <c r="P103" s="17" t="s">
        <v>7</v>
      </c>
      <c r="Q103" s="76">
        <v>20872</v>
      </c>
      <c r="R103" s="70"/>
      <c r="S103" s="72">
        <v>26386.89</v>
      </c>
      <c r="T103" s="58">
        <v>1</v>
      </c>
      <c r="U103" s="59">
        <v>3</v>
      </c>
      <c r="V103" s="15"/>
      <c r="W103" s="15"/>
      <c r="X103" s="17" t="s">
        <v>9</v>
      </c>
      <c r="Y103" s="18"/>
      <c r="Z103" s="17"/>
      <c r="AA103" s="18"/>
      <c r="AB103" s="17" t="s">
        <v>33</v>
      </c>
      <c r="AC103" s="17" t="s">
        <v>1054</v>
      </c>
      <c r="AD103" s="17"/>
      <c r="AE103" s="17"/>
      <c r="AF103" s="17"/>
      <c r="AG103" s="59"/>
      <c r="AH103" s="18"/>
      <c r="AI103" s="85"/>
      <c r="AJ103" s="85"/>
      <c r="AK103" s="85"/>
      <c r="AL103" s="92"/>
      <c r="AM103" s="62"/>
      <c r="AN103" s="62"/>
      <c r="AO103" s="62"/>
      <c r="AP103" s="62"/>
      <c r="AQ103" s="62"/>
      <c r="AR103" s="92">
        <f t="shared" si="9"/>
        <v>0</v>
      </c>
      <c r="AS103" s="85"/>
      <c r="AT103" s="85"/>
      <c r="AU103" s="85"/>
      <c r="AV103" s="85"/>
      <c r="AW103" s="85"/>
      <c r="AX103" s="85"/>
      <c r="AY103" s="92"/>
      <c r="AZ103" s="85"/>
      <c r="BA103" s="85"/>
      <c r="BB103" s="92"/>
      <c r="BC103" s="92"/>
      <c r="BD103" s="107">
        <v>14</v>
      </c>
      <c r="BE103" s="107"/>
      <c r="BF103" s="79"/>
      <c r="BG103" s="79"/>
      <c r="BH103" s="79"/>
      <c r="BI103" s="79"/>
      <c r="BJ103" s="79"/>
      <c r="BK103" s="79"/>
      <c r="BL103" s="21"/>
    </row>
    <row r="104" spans="1:64" ht="36" customHeight="1" x14ac:dyDescent="0.3">
      <c r="A104" s="15">
        <v>102</v>
      </c>
      <c r="B104" s="16" t="s">
        <v>1038</v>
      </c>
      <c r="C104" s="15"/>
      <c r="D104" s="15">
        <v>2021</v>
      </c>
      <c r="E104" s="21" t="s">
        <v>166</v>
      </c>
      <c r="F104" s="21" t="s">
        <v>212</v>
      </c>
      <c r="G104" s="44" t="s">
        <v>687</v>
      </c>
      <c r="H104" s="48">
        <v>51990000000</v>
      </c>
      <c r="I104" s="53"/>
      <c r="J104" s="53"/>
      <c r="K104" s="18" t="s">
        <v>36</v>
      </c>
      <c r="L104" s="17" t="s">
        <v>93</v>
      </c>
      <c r="M104" s="17" t="s">
        <v>106</v>
      </c>
      <c r="N104" s="17" t="s">
        <v>199</v>
      </c>
      <c r="O104" s="17" t="s">
        <v>42</v>
      </c>
      <c r="P104" s="21" t="s">
        <v>4</v>
      </c>
      <c r="Q104" s="76">
        <v>1715.4</v>
      </c>
      <c r="R104" s="70"/>
      <c r="S104" s="72">
        <v>15503.41</v>
      </c>
      <c r="T104" s="58">
        <v>6</v>
      </c>
      <c r="U104" s="59">
        <v>12</v>
      </c>
      <c r="V104" s="17" t="s">
        <v>18</v>
      </c>
      <c r="W104" s="15"/>
      <c r="X104" s="17" t="s">
        <v>64</v>
      </c>
      <c r="Y104" s="18"/>
      <c r="Z104" s="17" t="s">
        <v>1076</v>
      </c>
      <c r="AA104" s="18" t="s">
        <v>41</v>
      </c>
      <c r="AB104" s="17" t="s">
        <v>456</v>
      </c>
      <c r="AC104" s="18"/>
      <c r="AD104" s="17"/>
      <c r="AE104" s="17"/>
      <c r="AF104" s="17"/>
      <c r="AG104" s="59"/>
      <c r="AH104" s="18"/>
      <c r="AI104" s="85"/>
      <c r="AJ104" s="85"/>
      <c r="AK104" s="85"/>
      <c r="AL104" s="99"/>
      <c r="AM104" s="60"/>
      <c r="AN104" s="60"/>
      <c r="AO104" s="60"/>
      <c r="AP104" s="60"/>
      <c r="AQ104" s="60"/>
      <c r="AR104" s="92">
        <f t="shared" si="9"/>
        <v>0</v>
      </c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107">
        <v>27</v>
      </c>
      <c r="BE104" s="107"/>
      <c r="BF104" s="79"/>
      <c r="BG104" s="79"/>
      <c r="BH104" s="79"/>
      <c r="BI104" s="79"/>
      <c r="BJ104" s="79"/>
      <c r="BK104" s="79"/>
      <c r="BL104" s="21"/>
    </row>
    <row r="105" spans="1:64" ht="36" customHeight="1" x14ac:dyDescent="0.3">
      <c r="A105" s="15">
        <v>103</v>
      </c>
      <c r="B105" s="16" t="s">
        <v>895</v>
      </c>
      <c r="C105" s="16" t="s">
        <v>896</v>
      </c>
      <c r="D105" s="15">
        <v>2021</v>
      </c>
      <c r="E105" s="17" t="s">
        <v>593</v>
      </c>
      <c r="F105" s="15" t="s">
        <v>594</v>
      </c>
      <c r="G105" s="19" t="s">
        <v>225</v>
      </c>
      <c r="H105" s="48">
        <v>50575696000</v>
      </c>
      <c r="I105" s="53">
        <v>283</v>
      </c>
      <c r="J105" s="48">
        <v>2144552480.565371</v>
      </c>
      <c r="K105" s="18" t="s">
        <v>241</v>
      </c>
      <c r="L105" s="15" t="s">
        <v>93</v>
      </c>
      <c r="M105" s="15" t="s">
        <v>148</v>
      </c>
      <c r="N105" s="15" t="s">
        <v>90</v>
      </c>
      <c r="O105" s="15" t="s">
        <v>42</v>
      </c>
      <c r="P105" s="18" t="s">
        <v>4</v>
      </c>
      <c r="Q105" s="70">
        <v>2370</v>
      </c>
      <c r="R105" s="70">
        <v>1216.5</v>
      </c>
      <c r="S105" s="81">
        <v>19109.349999999999</v>
      </c>
      <c r="T105" s="48">
        <v>6</v>
      </c>
      <c r="U105" s="53">
        <v>9</v>
      </c>
      <c r="V105" s="15" t="s">
        <v>18</v>
      </c>
      <c r="W105" s="15" t="s">
        <v>18</v>
      </c>
      <c r="X105" s="18" t="s">
        <v>64</v>
      </c>
      <c r="Y105" s="18"/>
      <c r="Z105" s="17" t="s">
        <v>1076</v>
      </c>
      <c r="AA105" s="18" t="s">
        <v>41</v>
      </c>
      <c r="AB105" s="18" t="s">
        <v>456</v>
      </c>
      <c r="AC105" s="18"/>
      <c r="AD105" s="18" t="s">
        <v>1214</v>
      </c>
      <c r="AE105" s="18" t="s">
        <v>266</v>
      </c>
      <c r="AF105" s="18"/>
      <c r="AG105" s="85"/>
      <c r="AH105" s="18" t="s">
        <v>264</v>
      </c>
      <c r="AI105" s="85"/>
      <c r="AJ105" s="85"/>
      <c r="AK105" s="85"/>
      <c r="AL105" s="91">
        <f>SUM(AM105:AQ105)</f>
        <v>48315</v>
      </c>
      <c r="AM105" s="91">
        <f>41937</f>
        <v>41937</v>
      </c>
      <c r="AN105" s="92"/>
      <c r="AO105" s="91">
        <v>4251</v>
      </c>
      <c r="AP105" s="91">
        <v>2127</v>
      </c>
      <c r="AQ105" s="92"/>
      <c r="AR105" s="92">
        <f t="shared" si="9"/>
        <v>48315</v>
      </c>
      <c r="AS105" s="85"/>
      <c r="AT105" s="85"/>
      <c r="AU105" s="85"/>
      <c r="AV105" s="87">
        <v>22</v>
      </c>
      <c r="AW105" s="85"/>
      <c r="AX105" s="85"/>
      <c r="AY105" s="93"/>
      <c r="AZ105" s="85"/>
      <c r="BA105" s="85"/>
      <c r="BB105" s="87">
        <f>9454+5048+73</f>
        <v>14575</v>
      </c>
      <c r="BC105" s="87">
        <f>86.736+359.816+31.628-24.025+74.922+80.02+294.305</f>
        <v>903.40200000000004</v>
      </c>
      <c r="BD105" s="101">
        <v>30</v>
      </c>
      <c r="BE105" s="102">
        <v>27</v>
      </c>
      <c r="BF105" s="79"/>
      <c r="BG105" s="79">
        <v>12.5</v>
      </c>
      <c r="BH105" s="79"/>
      <c r="BI105" s="79">
        <v>17</v>
      </c>
      <c r="BJ105" s="79">
        <v>11.5</v>
      </c>
      <c r="BK105" s="79">
        <v>13</v>
      </c>
      <c r="BL105" s="15" t="s">
        <v>19</v>
      </c>
    </row>
    <row r="106" spans="1:64" ht="36" customHeight="1" x14ac:dyDescent="0.3">
      <c r="A106" s="15">
        <v>104</v>
      </c>
      <c r="B106" s="16" t="s">
        <v>897</v>
      </c>
      <c r="C106" s="16" t="s">
        <v>898</v>
      </c>
      <c r="D106" s="15">
        <v>2021</v>
      </c>
      <c r="E106" s="17" t="s">
        <v>339</v>
      </c>
      <c r="F106" s="15" t="s">
        <v>542</v>
      </c>
      <c r="G106" s="19" t="s">
        <v>225</v>
      </c>
      <c r="H106" s="48">
        <v>37249300000</v>
      </c>
      <c r="I106" s="53">
        <v>216</v>
      </c>
      <c r="J106" s="48">
        <v>2069405555.5555553</v>
      </c>
      <c r="K106" s="18" t="s">
        <v>243</v>
      </c>
      <c r="L106" s="15" t="s">
        <v>93</v>
      </c>
      <c r="M106" s="15" t="s">
        <v>99</v>
      </c>
      <c r="N106" s="15" t="s">
        <v>199</v>
      </c>
      <c r="O106" s="15" t="s">
        <v>42</v>
      </c>
      <c r="P106" s="18" t="s">
        <v>4</v>
      </c>
      <c r="Q106" s="70">
        <v>1393.4</v>
      </c>
      <c r="R106" s="70">
        <v>805.13</v>
      </c>
      <c r="S106" s="81">
        <v>13274.61</v>
      </c>
      <c r="T106" s="48">
        <v>6</v>
      </c>
      <c r="U106" s="53">
        <v>12</v>
      </c>
      <c r="V106" s="15" t="s">
        <v>18</v>
      </c>
      <c r="W106" s="15" t="s">
        <v>18</v>
      </c>
      <c r="X106" s="18" t="s">
        <v>64</v>
      </c>
      <c r="Y106" s="18" t="s">
        <v>62</v>
      </c>
      <c r="Z106" s="18" t="s">
        <v>1074</v>
      </c>
      <c r="AA106" s="18" t="s">
        <v>41</v>
      </c>
      <c r="AB106" s="18" t="s">
        <v>1056</v>
      </c>
      <c r="AC106" s="18"/>
      <c r="AD106" s="18" t="s">
        <v>1211</v>
      </c>
      <c r="AE106" s="18" t="s">
        <v>265</v>
      </c>
      <c r="AF106" s="18"/>
      <c r="AG106" s="85"/>
      <c r="AH106" s="18" t="s">
        <v>264</v>
      </c>
      <c r="AI106" s="85"/>
      <c r="AJ106" s="85"/>
      <c r="AK106" s="85"/>
      <c r="AL106" s="91">
        <f>SUM(AM106:AQ106)</f>
        <v>42380</v>
      </c>
      <c r="AM106" s="91">
        <f>4993+20132</f>
        <v>25125</v>
      </c>
      <c r="AN106" s="92"/>
      <c r="AO106" s="91">
        <v>10492</v>
      </c>
      <c r="AP106" s="91">
        <v>6763</v>
      </c>
      <c r="AQ106" s="92"/>
      <c r="AR106" s="92">
        <f t="shared" si="9"/>
        <v>42380</v>
      </c>
      <c r="AS106" s="85"/>
      <c r="AT106" s="87">
        <f>180-24</f>
        <v>156</v>
      </c>
      <c r="AU106" s="85"/>
      <c r="AV106" s="87">
        <v>12</v>
      </c>
      <c r="AW106" s="85"/>
      <c r="AX106" s="85"/>
      <c r="AY106" s="85"/>
      <c r="AZ106" s="85"/>
      <c r="BA106" s="85"/>
      <c r="BB106" s="87">
        <f>9514-366+184+2715+77-100</f>
        <v>12024</v>
      </c>
      <c r="BC106" s="87">
        <f>118.936+625.185-25.849+525.822+49.103+641.051+0.094+35.14</f>
        <v>1969.4820000000002</v>
      </c>
      <c r="BD106" s="101">
        <v>30</v>
      </c>
      <c r="BE106" s="102">
        <v>27</v>
      </c>
      <c r="BF106" s="79">
        <v>1.5</v>
      </c>
      <c r="BG106" s="79">
        <v>15</v>
      </c>
      <c r="BH106" s="79"/>
      <c r="BI106" s="79">
        <v>16</v>
      </c>
      <c r="BJ106" s="79">
        <v>7.5</v>
      </c>
      <c r="BK106" s="79">
        <v>6.5</v>
      </c>
      <c r="BL106" s="15" t="s">
        <v>453</v>
      </c>
    </row>
    <row r="107" spans="1:64" ht="36" customHeight="1" x14ac:dyDescent="0.3">
      <c r="A107" s="15">
        <v>105</v>
      </c>
      <c r="B107" s="16" t="s">
        <v>899</v>
      </c>
      <c r="C107" s="16" t="s">
        <v>900</v>
      </c>
      <c r="D107" s="15">
        <v>2021</v>
      </c>
      <c r="E107" s="17" t="s">
        <v>543</v>
      </c>
      <c r="F107" s="15" t="s">
        <v>471</v>
      </c>
      <c r="G107" s="19" t="s">
        <v>225</v>
      </c>
      <c r="H107" s="48">
        <v>9750000000</v>
      </c>
      <c r="I107" s="53">
        <v>49</v>
      </c>
      <c r="J107" s="48">
        <v>2387755102.0408163</v>
      </c>
      <c r="K107" s="18" t="s">
        <v>243</v>
      </c>
      <c r="L107" s="15" t="s">
        <v>112</v>
      </c>
      <c r="M107" s="15" t="s">
        <v>113</v>
      </c>
      <c r="N107" s="15" t="s">
        <v>90</v>
      </c>
      <c r="O107" s="15" t="s">
        <v>42</v>
      </c>
      <c r="P107" s="15" t="s">
        <v>14</v>
      </c>
      <c r="Q107" s="70">
        <v>123642.6</v>
      </c>
      <c r="R107" s="70">
        <v>3009.94</v>
      </c>
      <c r="S107" s="81">
        <v>5905.78</v>
      </c>
      <c r="T107" s="48">
        <v>0</v>
      </c>
      <c r="U107" s="53">
        <v>3</v>
      </c>
      <c r="V107" s="15"/>
      <c r="W107" s="18" t="s">
        <v>1050</v>
      </c>
      <c r="X107" s="18" t="s">
        <v>9</v>
      </c>
      <c r="Y107" s="18" t="s">
        <v>62</v>
      </c>
      <c r="Z107" s="18"/>
      <c r="AA107" s="18"/>
      <c r="AB107" s="18"/>
      <c r="AC107" s="18"/>
      <c r="AD107" s="18" t="s">
        <v>1082</v>
      </c>
      <c r="AE107" s="18" t="s">
        <v>1082</v>
      </c>
      <c r="AF107" s="18"/>
      <c r="AG107" s="85"/>
      <c r="AH107" s="18" t="s">
        <v>285</v>
      </c>
      <c r="AI107" s="85"/>
      <c r="AJ107" s="85"/>
      <c r="AK107" s="85"/>
      <c r="AL107" s="91">
        <f>SUM(AM107:AQ107)</f>
        <v>2196</v>
      </c>
      <c r="AM107" s="91">
        <v>2196</v>
      </c>
      <c r="AN107" s="92"/>
      <c r="AO107" s="92"/>
      <c r="AP107" s="92"/>
      <c r="AQ107" s="92"/>
      <c r="AR107" s="91">
        <f t="shared" si="9"/>
        <v>2196</v>
      </c>
      <c r="AS107" s="89"/>
      <c r="AT107" s="85"/>
      <c r="AU107" s="85"/>
      <c r="AV107" s="85"/>
      <c r="AW107" s="85"/>
      <c r="AX107" s="85"/>
      <c r="AY107" s="92"/>
      <c r="AZ107" s="85"/>
      <c r="BA107" s="85"/>
      <c r="BB107" s="91">
        <v>3154</v>
      </c>
      <c r="BC107" s="91">
        <v>681</v>
      </c>
      <c r="BD107" s="101">
        <v>9</v>
      </c>
      <c r="BE107" s="102">
        <v>7</v>
      </c>
      <c r="BF107" s="79"/>
      <c r="BG107" s="79">
        <v>2</v>
      </c>
      <c r="BH107" s="79"/>
      <c r="BI107" s="79">
        <v>4</v>
      </c>
      <c r="BJ107" s="105">
        <v>5</v>
      </c>
      <c r="BK107" s="105">
        <v>4</v>
      </c>
      <c r="BL107" s="15"/>
    </row>
    <row r="108" spans="1:64" ht="36" customHeight="1" x14ac:dyDescent="0.3">
      <c r="A108" s="15">
        <v>106</v>
      </c>
      <c r="B108" s="16" t="s">
        <v>901</v>
      </c>
      <c r="C108" s="15"/>
      <c r="D108" s="15">
        <v>2022</v>
      </c>
      <c r="E108" s="21" t="s">
        <v>21</v>
      </c>
      <c r="F108" s="21" t="s">
        <v>213</v>
      </c>
      <c r="G108" s="19" t="s">
        <v>688</v>
      </c>
      <c r="H108" s="48">
        <v>70000000000</v>
      </c>
      <c r="I108" s="53"/>
      <c r="J108" s="53"/>
      <c r="K108" s="18" t="s">
        <v>36</v>
      </c>
      <c r="L108" s="15" t="s">
        <v>158</v>
      </c>
      <c r="M108" s="17" t="s">
        <v>36</v>
      </c>
      <c r="N108" s="17" t="s">
        <v>36</v>
      </c>
      <c r="O108" s="17" t="s">
        <v>36</v>
      </c>
      <c r="P108" s="15" t="s">
        <v>6</v>
      </c>
      <c r="Q108" s="76">
        <v>5152</v>
      </c>
      <c r="R108" s="70"/>
      <c r="S108" s="72">
        <v>40954.46</v>
      </c>
      <c r="T108" s="58">
        <v>6</v>
      </c>
      <c r="U108" s="59">
        <v>10</v>
      </c>
      <c r="V108" s="15"/>
      <c r="W108" s="30" t="s">
        <v>16</v>
      </c>
      <c r="X108" s="17" t="s">
        <v>64</v>
      </c>
      <c r="Y108" s="18"/>
      <c r="Z108" s="18"/>
      <c r="AA108" s="18"/>
      <c r="AB108" s="18"/>
      <c r="AC108" s="18"/>
      <c r="AD108" s="17"/>
      <c r="AE108" s="17"/>
      <c r="AF108" s="17"/>
      <c r="AG108" s="59"/>
      <c r="AH108" s="18"/>
      <c r="AI108" s="85"/>
      <c r="AJ108" s="85"/>
      <c r="AK108" s="85"/>
      <c r="AL108" s="92"/>
      <c r="AM108" s="92"/>
      <c r="AN108" s="92"/>
      <c r="AO108" s="92"/>
      <c r="AP108" s="92"/>
      <c r="AQ108" s="92"/>
      <c r="AR108" s="92">
        <f t="shared" si="9"/>
        <v>0</v>
      </c>
      <c r="AS108" s="85"/>
      <c r="AT108" s="85"/>
      <c r="AU108" s="85"/>
      <c r="AV108" s="85"/>
      <c r="AW108" s="85"/>
      <c r="AX108" s="85"/>
      <c r="AY108" s="92"/>
      <c r="AZ108" s="85"/>
      <c r="BA108" s="85"/>
      <c r="BB108" s="92"/>
      <c r="BC108" s="92"/>
      <c r="BD108" s="101">
        <v>27</v>
      </c>
      <c r="BE108" s="102"/>
      <c r="BF108" s="79"/>
      <c r="BG108" s="79"/>
      <c r="BH108" s="79"/>
      <c r="BI108" s="79"/>
      <c r="BJ108" s="79"/>
      <c r="BK108" s="79"/>
      <c r="BL108" s="21" t="s">
        <v>22</v>
      </c>
    </row>
    <row r="109" spans="1:64" ht="36" customHeight="1" x14ac:dyDescent="0.3">
      <c r="A109" s="15">
        <v>107</v>
      </c>
      <c r="B109" s="16" t="s">
        <v>902</v>
      </c>
      <c r="C109" s="16" t="s">
        <v>903</v>
      </c>
      <c r="D109" s="15">
        <v>2022</v>
      </c>
      <c r="E109" s="17" t="s">
        <v>544</v>
      </c>
      <c r="F109" s="15" t="s">
        <v>545</v>
      </c>
      <c r="G109" s="19" t="s">
        <v>225</v>
      </c>
      <c r="H109" s="48">
        <v>33506000000</v>
      </c>
      <c r="I109" s="53">
        <v>190</v>
      </c>
      <c r="J109" s="48">
        <v>2116168421.0526316</v>
      </c>
      <c r="K109" s="18" t="s">
        <v>241</v>
      </c>
      <c r="L109" s="15" t="s">
        <v>167</v>
      </c>
      <c r="M109" s="15" t="s">
        <v>451</v>
      </c>
      <c r="N109" s="15" t="s">
        <v>90</v>
      </c>
      <c r="O109" s="15" t="s">
        <v>42</v>
      </c>
      <c r="P109" s="15" t="s">
        <v>14</v>
      </c>
      <c r="Q109" s="70">
        <v>23544</v>
      </c>
      <c r="R109" s="70">
        <v>7294</v>
      </c>
      <c r="S109" s="81">
        <v>10994</v>
      </c>
      <c r="T109" s="48">
        <v>0</v>
      </c>
      <c r="U109" s="53">
        <v>2</v>
      </c>
      <c r="V109" s="15"/>
      <c r="W109" s="18" t="s">
        <v>16</v>
      </c>
      <c r="X109" s="18" t="s">
        <v>9</v>
      </c>
      <c r="Y109" s="18" t="s">
        <v>62</v>
      </c>
      <c r="Z109" s="18"/>
      <c r="AA109" s="18"/>
      <c r="AB109" s="18" t="s">
        <v>33</v>
      </c>
      <c r="AC109" s="18"/>
      <c r="AD109" s="18" t="s">
        <v>1083</v>
      </c>
      <c r="AE109" s="18" t="s">
        <v>338</v>
      </c>
      <c r="AF109" s="18"/>
      <c r="AG109" s="85"/>
      <c r="AH109" s="18" t="s">
        <v>285</v>
      </c>
      <c r="AI109" s="85"/>
      <c r="AJ109" s="85"/>
      <c r="AK109" s="85"/>
      <c r="AL109" s="91">
        <f>SUM(AM109:AQ109)</f>
        <v>24284</v>
      </c>
      <c r="AM109" s="91">
        <f>8506+1136+690</f>
        <v>10332</v>
      </c>
      <c r="AN109" s="92"/>
      <c r="AO109" s="91">
        <v>4432</v>
      </c>
      <c r="AP109" s="91">
        <f>8775+745</f>
        <v>9520</v>
      </c>
      <c r="AQ109" s="92"/>
      <c r="AR109" s="92">
        <f t="shared" si="9"/>
        <v>24284</v>
      </c>
      <c r="AS109" s="87"/>
      <c r="AT109" s="85"/>
      <c r="AU109" s="87">
        <v>87</v>
      </c>
      <c r="AV109" s="85"/>
      <c r="AW109" s="85"/>
      <c r="AX109" s="85"/>
      <c r="AY109" s="92"/>
      <c r="AZ109" s="85"/>
      <c r="BA109" s="85"/>
      <c r="BB109" s="91">
        <f>3940+2581+779+72+29+70+37+31</f>
        <v>7539</v>
      </c>
      <c r="BC109" s="91">
        <f>246.592+5.296+1.704+3.112+76.124-2.318-15.216</f>
        <v>315.29399999999998</v>
      </c>
      <c r="BD109" s="101">
        <v>20</v>
      </c>
      <c r="BE109" s="102">
        <v>20</v>
      </c>
      <c r="BF109" s="79"/>
      <c r="BG109" s="79">
        <v>2</v>
      </c>
      <c r="BH109" s="79"/>
      <c r="BI109" s="79">
        <v>14</v>
      </c>
      <c r="BJ109" s="79">
        <v>8</v>
      </c>
      <c r="BK109" s="79">
        <v>6</v>
      </c>
      <c r="BL109" s="15" t="s">
        <v>452</v>
      </c>
    </row>
    <row r="110" spans="1:64" ht="36" customHeight="1" x14ac:dyDescent="0.3">
      <c r="A110" s="15">
        <v>108</v>
      </c>
      <c r="B110" s="16" t="s">
        <v>904</v>
      </c>
      <c r="C110" s="16" t="s">
        <v>905</v>
      </c>
      <c r="D110" s="15">
        <v>2022</v>
      </c>
      <c r="E110" s="17" t="s">
        <v>631</v>
      </c>
      <c r="F110" s="15" t="s">
        <v>546</v>
      </c>
      <c r="G110" s="19" t="s">
        <v>225</v>
      </c>
      <c r="H110" s="48">
        <v>74800000000</v>
      </c>
      <c r="I110" s="53">
        <v>265</v>
      </c>
      <c r="J110" s="48">
        <v>3387169811.3207545</v>
      </c>
      <c r="K110" s="18" t="s">
        <v>243</v>
      </c>
      <c r="L110" s="15" t="s">
        <v>97</v>
      </c>
      <c r="M110" s="15" t="s">
        <v>168</v>
      </c>
      <c r="N110" s="15" t="s">
        <v>90</v>
      </c>
      <c r="O110" s="15" t="s">
        <v>42</v>
      </c>
      <c r="P110" s="15" t="s">
        <v>7</v>
      </c>
      <c r="Q110" s="70">
        <v>25583</v>
      </c>
      <c r="R110" s="70">
        <v>14905.37</v>
      </c>
      <c r="S110" s="81">
        <v>54322.86</v>
      </c>
      <c r="T110" s="48">
        <v>2</v>
      </c>
      <c r="U110" s="53">
        <v>3</v>
      </c>
      <c r="V110" s="15" t="s">
        <v>18</v>
      </c>
      <c r="W110" s="18" t="s">
        <v>18</v>
      </c>
      <c r="X110" s="18" t="s">
        <v>9</v>
      </c>
      <c r="Y110" s="18" t="s">
        <v>62</v>
      </c>
      <c r="Z110" s="18"/>
      <c r="AA110" s="18"/>
      <c r="AB110" s="18" t="s">
        <v>33</v>
      </c>
      <c r="AC110" s="18" t="s">
        <v>20</v>
      </c>
      <c r="AD110" s="18" t="s">
        <v>1082</v>
      </c>
      <c r="AE110" s="18" t="s">
        <v>265</v>
      </c>
      <c r="AF110" s="18"/>
      <c r="AG110" s="85"/>
      <c r="AH110" s="18" t="s">
        <v>285</v>
      </c>
      <c r="AI110" s="85"/>
      <c r="AJ110" s="85"/>
      <c r="AK110" s="85"/>
      <c r="AL110" s="92"/>
      <c r="AM110" s="92"/>
      <c r="AN110" s="92"/>
      <c r="AO110" s="92"/>
      <c r="AP110" s="92"/>
      <c r="AQ110" s="92"/>
      <c r="AR110" s="92">
        <f t="shared" si="9"/>
        <v>0</v>
      </c>
      <c r="AS110" s="85"/>
      <c r="AT110" s="85"/>
      <c r="AU110" s="85"/>
      <c r="AV110" s="85"/>
      <c r="AW110" s="85"/>
      <c r="AX110" s="85"/>
      <c r="AY110" s="92"/>
      <c r="AZ110" s="85"/>
      <c r="BA110" s="85"/>
      <c r="BB110" s="92"/>
      <c r="BC110" s="92"/>
      <c r="BD110" s="101">
        <v>23</v>
      </c>
      <c r="BE110" s="102">
        <f>652/30</f>
        <v>21.733333333333334</v>
      </c>
      <c r="BF110" s="79"/>
      <c r="BG110" s="79">
        <f>250/30</f>
        <v>8.3333333333333339</v>
      </c>
      <c r="BH110" s="79"/>
      <c r="BI110" s="79">
        <f>400/30</f>
        <v>13.333333333333334</v>
      </c>
      <c r="BJ110" s="79">
        <v>9</v>
      </c>
      <c r="BK110" s="79">
        <v>9</v>
      </c>
      <c r="BL110" s="15" t="s">
        <v>68</v>
      </c>
    </row>
    <row r="111" spans="1:64" ht="36" customHeight="1" x14ac:dyDescent="0.3">
      <c r="A111" s="15">
        <v>109</v>
      </c>
      <c r="B111" s="16" t="s">
        <v>906</v>
      </c>
      <c r="C111" s="15"/>
      <c r="D111" s="15">
        <v>2022</v>
      </c>
      <c r="E111" s="21" t="s">
        <v>23</v>
      </c>
      <c r="F111" s="21" t="s">
        <v>617</v>
      </c>
      <c r="G111" s="44" t="s">
        <v>687</v>
      </c>
      <c r="H111" s="48">
        <v>47000000000</v>
      </c>
      <c r="I111" s="53"/>
      <c r="J111" s="53"/>
      <c r="K111" s="18" t="s">
        <v>36</v>
      </c>
      <c r="L111" s="17" t="s">
        <v>84</v>
      </c>
      <c r="M111" s="17" t="s">
        <v>107</v>
      </c>
      <c r="N111" s="17" t="s">
        <v>90</v>
      </c>
      <c r="O111" s="17" t="s">
        <v>42</v>
      </c>
      <c r="P111" s="17" t="s">
        <v>7</v>
      </c>
      <c r="Q111" s="76">
        <v>9313.4</v>
      </c>
      <c r="R111" s="70"/>
      <c r="S111" s="72">
        <v>34993.660000000003</v>
      </c>
      <c r="T111" s="58">
        <v>1</v>
      </c>
      <c r="U111" s="59">
        <v>5</v>
      </c>
      <c r="V111" s="15"/>
      <c r="W111" s="30" t="s">
        <v>24</v>
      </c>
      <c r="X111" s="17"/>
      <c r="Y111" s="18"/>
      <c r="Z111" s="18"/>
      <c r="AA111" s="18"/>
      <c r="AB111" s="18"/>
      <c r="AC111" s="18"/>
      <c r="AD111" s="17"/>
      <c r="AE111" s="17"/>
      <c r="AF111" s="17"/>
      <c r="AG111" s="59"/>
      <c r="AH111" s="18"/>
      <c r="AI111" s="85"/>
      <c r="AJ111" s="85"/>
      <c r="AK111" s="85"/>
      <c r="AL111" s="92"/>
      <c r="AM111" s="62"/>
      <c r="AN111" s="62"/>
      <c r="AO111" s="62"/>
      <c r="AP111" s="62"/>
      <c r="AQ111" s="62"/>
      <c r="AR111" s="92">
        <f t="shared" si="9"/>
        <v>0</v>
      </c>
      <c r="AS111" s="85"/>
      <c r="AT111" s="85"/>
      <c r="AU111" s="85"/>
      <c r="AV111" s="85"/>
      <c r="AW111" s="85"/>
      <c r="AX111" s="85"/>
      <c r="AY111" s="92"/>
      <c r="AZ111" s="85"/>
      <c r="BA111" s="85"/>
      <c r="BB111" s="92"/>
      <c r="BC111" s="92"/>
      <c r="BD111" s="107">
        <v>15</v>
      </c>
      <c r="BE111" s="107"/>
      <c r="BF111" s="79"/>
      <c r="BG111" s="107">
        <v>4</v>
      </c>
      <c r="BH111" s="107">
        <v>6.5</v>
      </c>
      <c r="BI111" s="107">
        <v>4</v>
      </c>
      <c r="BJ111" s="107">
        <v>4</v>
      </c>
      <c r="BK111" s="79"/>
      <c r="BL111" s="21"/>
    </row>
    <row r="112" spans="1:64" ht="36" customHeight="1" x14ac:dyDescent="0.3">
      <c r="A112" s="15">
        <v>110</v>
      </c>
      <c r="B112" s="16" t="s">
        <v>907</v>
      </c>
      <c r="C112" s="15"/>
      <c r="D112" s="15">
        <v>2022</v>
      </c>
      <c r="E112" s="21" t="s">
        <v>616</v>
      </c>
      <c r="F112" s="21" t="s">
        <v>216</v>
      </c>
      <c r="G112" s="44" t="s">
        <v>687</v>
      </c>
      <c r="H112" s="48">
        <v>70000000000</v>
      </c>
      <c r="I112" s="53"/>
      <c r="J112" s="53"/>
      <c r="K112" s="18" t="s">
        <v>36</v>
      </c>
      <c r="L112" s="17" t="s">
        <v>93</v>
      </c>
      <c r="M112" s="17" t="s">
        <v>122</v>
      </c>
      <c r="N112" s="17" t="s">
        <v>199</v>
      </c>
      <c r="O112" s="17" t="s">
        <v>42</v>
      </c>
      <c r="P112" s="17" t="s">
        <v>25</v>
      </c>
      <c r="Q112" s="76">
        <v>4440</v>
      </c>
      <c r="R112" s="76"/>
      <c r="S112" s="72">
        <v>36518.35</v>
      </c>
      <c r="T112" s="58">
        <v>5</v>
      </c>
      <c r="U112" s="59">
        <v>10</v>
      </c>
      <c r="V112" s="15"/>
      <c r="W112" s="30" t="s">
        <v>16</v>
      </c>
      <c r="X112" s="17" t="s">
        <v>64</v>
      </c>
      <c r="Y112" s="18"/>
      <c r="Z112" s="21" t="s">
        <v>1074</v>
      </c>
      <c r="AA112" s="21" t="s">
        <v>1053</v>
      </c>
      <c r="AB112" s="17" t="s">
        <v>455</v>
      </c>
      <c r="AC112" s="18"/>
      <c r="AD112" s="17"/>
      <c r="AE112" s="17"/>
      <c r="AF112" s="17"/>
      <c r="AG112" s="59"/>
      <c r="AH112" s="18"/>
      <c r="AI112" s="85"/>
      <c r="AJ112" s="85"/>
      <c r="AK112" s="85"/>
      <c r="AL112" s="92"/>
      <c r="AM112" s="62"/>
      <c r="AN112" s="62"/>
      <c r="AO112" s="62"/>
      <c r="AP112" s="62"/>
      <c r="AQ112" s="62"/>
      <c r="AR112" s="92">
        <f t="shared" si="9"/>
        <v>0</v>
      </c>
      <c r="AS112" s="85"/>
      <c r="AT112" s="85"/>
      <c r="AU112" s="85"/>
      <c r="AV112" s="85"/>
      <c r="AW112" s="85"/>
      <c r="AX112" s="85"/>
      <c r="AY112" s="92"/>
      <c r="AZ112" s="85"/>
      <c r="BA112" s="85"/>
      <c r="BB112" s="92"/>
      <c r="BC112" s="92"/>
      <c r="BD112" s="107">
        <v>28</v>
      </c>
      <c r="BE112" s="107"/>
      <c r="BF112" s="79"/>
      <c r="BG112" s="79"/>
      <c r="BH112" s="79"/>
      <c r="BI112" s="79"/>
      <c r="BJ112" s="79"/>
      <c r="BK112" s="79"/>
      <c r="BL112" s="21" t="s">
        <v>26</v>
      </c>
    </row>
    <row r="113" spans="1:64" ht="36" customHeight="1" x14ac:dyDescent="0.3">
      <c r="A113" s="15">
        <v>111</v>
      </c>
      <c r="B113" s="16" t="s">
        <v>908</v>
      </c>
      <c r="C113" s="15"/>
      <c r="D113" s="15">
        <v>2022</v>
      </c>
      <c r="E113" s="21" t="s">
        <v>615</v>
      </c>
      <c r="F113" s="21" t="s">
        <v>36</v>
      </c>
      <c r="G113" s="44" t="s">
        <v>687</v>
      </c>
      <c r="H113" s="48">
        <v>20000000000</v>
      </c>
      <c r="I113" s="53"/>
      <c r="J113" s="53"/>
      <c r="K113" s="21" t="s">
        <v>36</v>
      </c>
      <c r="L113" s="17" t="s">
        <v>93</v>
      </c>
      <c r="M113" s="17" t="s">
        <v>106</v>
      </c>
      <c r="N113" s="17" t="s">
        <v>199</v>
      </c>
      <c r="O113" s="17" t="s">
        <v>5</v>
      </c>
      <c r="P113" s="17" t="s">
        <v>4</v>
      </c>
      <c r="Q113" s="76">
        <v>1251.5</v>
      </c>
      <c r="R113" s="70"/>
      <c r="S113" s="72">
        <v>12250.51</v>
      </c>
      <c r="T113" s="58">
        <v>3</v>
      </c>
      <c r="U113" s="59">
        <v>15</v>
      </c>
      <c r="V113" s="15"/>
      <c r="W113" s="15"/>
      <c r="X113" s="17"/>
      <c r="Y113" s="18"/>
      <c r="Z113" s="18"/>
      <c r="AA113" s="18"/>
      <c r="AB113" s="18"/>
      <c r="AC113" s="18"/>
      <c r="AD113" s="17"/>
      <c r="AE113" s="17"/>
      <c r="AF113" s="17"/>
      <c r="AG113" s="59"/>
      <c r="AH113" s="18"/>
      <c r="AI113" s="85"/>
      <c r="AJ113" s="85"/>
      <c r="AK113" s="85"/>
      <c r="AL113" s="92"/>
      <c r="AM113" s="62"/>
      <c r="AN113" s="62"/>
      <c r="AO113" s="62"/>
      <c r="AP113" s="62"/>
      <c r="AQ113" s="62"/>
      <c r="AR113" s="92">
        <f t="shared" si="9"/>
        <v>0</v>
      </c>
      <c r="AS113" s="85"/>
      <c r="AT113" s="85"/>
      <c r="AU113" s="85"/>
      <c r="AV113" s="85"/>
      <c r="AW113" s="85"/>
      <c r="AX113" s="85"/>
      <c r="AY113" s="92"/>
      <c r="AZ113" s="85"/>
      <c r="BA113" s="85"/>
      <c r="BB113" s="92"/>
      <c r="BC113" s="92"/>
      <c r="BD113" s="107">
        <v>19</v>
      </c>
      <c r="BE113" s="107"/>
      <c r="BF113" s="79"/>
      <c r="BG113" s="107">
        <v>2</v>
      </c>
      <c r="BH113" s="107">
        <v>10</v>
      </c>
      <c r="BI113" s="107">
        <v>4.5</v>
      </c>
      <c r="BJ113" s="107">
        <v>4.5</v>
      </c>
      <c r="BK113" s="79"/>
      <c r="BL113" s="21" t="s">
        <v>27</v>
      </c>
    </row>
    <row r="114" spans="1:64" ht="36" customHeight="1" x14ac:dyDescent="0.3">
      <c r="A114" s="15">
        <v>112</v>
      </c>
      <c r="B114" s="16" t="s">
        <v>909</v>
      </c>
      <c r="C114" s="15"/>
      <c r="D114" s="15">
        <v>2022</v>
      </c>
      <c r="E114" s="21" t="s">
        <v>677</v>
      </c>
      <c r="F114" s="21" t="s">
        <v>217</v>
      </c>
      <c r="G114" s="44" t="s">
        <v>687</v>
      </c>
      <c r="H114" s="48">
        <v>140000000000</v>
      </c>
      <c r="I114" s="53"/>
      <c r="J114" s="53"/>
      <c r="K114" s="18" t="s">
        <v>36</v>
      </c>
      <c r="L114" s="17" t="s">
        <v>142</v>
      </c>
      <c r="M114" s="17" t="s">
        <v>143</v>
      </c>
      <c r="N114" s="17" t="s">
        <v>90</v>
      </c>
      <c r="O114" s="17" t="s">
        <v>42</v>
      </c>
      <c r="P114" s="17" t="s">
        <v>4</v>
      </c>
      <c r="Q114" s="76"/>
      <c r="R114" s="76"/>
      <c r="S114" s="72">
        <v>55221.35</v>
      </c>
      <c r="T114" s="48">
        <v>0</v>
      </c>
      <c r="U114" s="59">
        <v>10</v>
      </c>
      <c r="V114" s="15"/>
      <c r="W114" s="30" t="s">
        <v>18</v>
      </c>
      <c r="X114" s="17"/>
      <c r="Y114" s="18"/>
      <c r="Z114" s="18"/>
      <c r="AA114" s="18"/>
      <c r="AB114" s="18"/>
      <c r="AC114" s="18"/>
      <c r="AD114" s="17"/>
      <c r="AE114" s="17"/>
      <c r="AF114" s="17"/>
      <c r="AG114" s="59"/>
      <c r="AH114" s="18"/>
      <c r="AI114" s="85"/>
      <c r="AJ114" s="85"/>
      <c r="AK114" s="85"/>
      <c r="AL114" s="92"/>
      <c r="AM114" s="62"/>
      <c r="AN114" s="62"/>
      <c r="AO114" s="62"/>
      <c r="AP114" s="62"/>
      <c r="AQ114" s="62"/>
      <c r="AR114" s="92">
        <f t="shared" si="9"/>
        <v>0</v>
      </c>
      <c r="AS114" s="85"/>
      <c r="AT114" s="85"/>
      <c r="AU114" s="85"/>
      <c r="AV114" s="85"/>
      <c r="AW114" s="85"/>
      <c r="AX114" s="85"/>
      <c r="AY114" s="92"/>
      <c r="AZ114" s="85"/>
      <c r="BA114" s="85"/>
      <c r="BB114" s="92"/>
      <c r="BC114" s="92"/>
      <c r="BD114" s="107">
        <v>19.5</v>
      </c>
      <c r="BE114" s="107"/>
      <c r="BF114" s="79"/>
      <c r="BG114" s="107">
        <v>4.5</v>
      </c>
      <c r="BH114" s="107">
        <v>9.5</v>
      </c>
      <c r="BI114" s="107">
        <v>5.5</v>
      </c>
      <c r="BJ114" s="107">
        <v>5.5</v>
      </c>
      <c r="BK114" s="79"/>
      <c r="BL114" s="21"/>
    </row>
    <row r="115" spans="1:64" ht="36" customHeight="1" x14ac:dyDescent="0.3">
      <c r="A115" s="15">
        <v>113</v>
      </c>
      <c r="B115" s="16" t="s">
        <v>910</v>
      </c>
      <c r="C115" s="16" t="s">
        <v>911</v>
      </c>
      <c r="D115" s="15">
        <v>2022</v>
      </c>
      <c r="E115" s="17" t="s">
        <v>547</v>
      </c>
      <c r="F115" s="15" t="s">
        <v>450</v>
      </c>
      <c r="G115" s="19" t="s">
        <v>225</v>
      </c>
      <c r="H115" s="48">
        <v>67396000000</v>
      </c>
      <c r="I115" s="53">
        <v>266</v>
      </c>
      <c r="J115" s="48">
        <v>3040421052.6315789</v>
      </c>
      <c r="K115" s="18" t="s">
        <v>241</v>
      </c>
      <c r="L115" s="15" t="s">
        <v>142</v>
      </c>
      <c r="M115" s="15" t="s">
        <v>143</v>
      </c>
      <c r="N115" s="15" t="s">
        <v>90</v>
      </c>
      <c r="O115" s="15" t="s">
        <v>42</v>
      </c>
      <c r="P115" s="18" t="s">
        <v>14</v>
      </c>
      <c r="Q115" s="70">
        <v>30095.3</v>
      </c>
      <c r="R115" s="70">
        <v>9552.6</v>
      </c>
      <c r="S115" s="81">
        <v>12925.58</v>
      </c>
      <c r="T115" s="48">
        <v>1</v>
      </c>
      <c r="U115" s="53">
        <v>10</v>
      </c>
      <c r="V115" s="15"/>
      <c r="W115" s="18" t="s">
        <v>16</v>
      </c>
      <c r="X115" s="18" t="s">
        <v>9</v>
      </c>
      <c r="Y115" s="18" t="s">
        <v>61</v>
      </c>
      <c r="Z115" s="18"/>
      <c r="AA115" s="18"/>
      <c r="AB115" s="18" t="s">
        <v>33</v>
      </c>
      <c r="AC115" s="18"/>
      <c r="AD115" s="18" t="s">
        <v>1082</v>
      </c>
      <c r="AE115" s="18" t="s">
        <v>1214</v>
      </c>
      <c r="AF115" s="18"/>
      <c r="AG115" s="85"/>
      <c r="AH115" s="18" t="s">
        <v>264</v>
      </c>
      <c r="AI115" s="85"/>
      <c r="AJ115" s="85"/>
      <c r="AK115" s="85"/>
      <c r="AL115" s="92"/>
      <c r="AM115" s="92"/>
      <c r="AN115" s="92"/>
      <c r="AO115" s="92"/>
      <c r="AP115" s="92"/>
      <c r="AQ115" s="92"/>
      <c r="AR115" s="92">
        <f t="shared" si="9"/>
        <v>0</v>
      </c>
      <c r="AS115" s="85"/>
      <c r="AT115" s="85"/>
      <c r="AU115" s="85"/>
      <c r="AV115" s="85"/>
      <c r="AW115" s="85"/>
      <c r="AX115" s="85"/>
      <c r="AY115" s="92"/>
      <c r="AZ115" s="85"/>
      <c r="BA115" s="85"/>
      <c r="BB115" s="92"/>
      <c r="BC115" s="92"/>
      <c r="BD115" s="101">
        <v>20</v>
      </c>
      <c r="BE115" s="102">
        <f>533/30</f>
        <v>17.766666666666666</v>
      </c>
      <c r="BF115" s="79"/>
      <c r="BG115" s="79">
        <v>3</v>
      </c>
      <c r="BH115" s="79"/>
      <c r="BI115" s="79">
        <f>355/30</f>
        <v>11.833333333333334</v>
      </c>
      <c r="BJ115" s="79">
        <f>420/30</f>
        <v>14</v>
      </c>
      <c r="BK115" s="79">
        <f>300/30</f>
        <v>10</v>
      </c>
      <c r="BL115" s="15"/>
    </row>
    <row r="116" spans="1:64" ht="36" customHeight="1" x14ac:dyDescent="0.3">
      <c r="A116" s="15">
        <v>114</v>
      </c>
      <c r="B116" s="16" t="s">
        <v>912</v>
      </c>
      <c r="C116" s="15"/>
      <c r="D116" s="15">
        <v>2022</v>
      </c>
      <c r="E116" s="21" t="s">
        <v>614</v>
      </c>
      <c r="F116" s="21" t="s">
        <v>28</v>
      </c>
      <c r="G116" s="44" t="s">
        <v>687</v>
      </c>
      <c r="H116" s="48">
        <v>120000000000</v>
      </c>
      <c r="I116" s="53"/>
      <c r="J116" s="53"/>
      <c r="K116" s="18" t="s">
        <v>36</v>
      </c>
      <c r="L116" s="17" t="s">
        <v>93</v>
      </c>
      <c r="M116" s="17" t="s">
        <v>106</v>
      </c>
      <c r="N116" s="17" t="s">
        <v>199</v>
      </c>
      <c r="O116" s="15" t="s">
        <v>42</v>
      </c>
      <c r="P116" s="17" t="s">
        <v>696</v>
      </c>
      <c r="Q116" s="76">
        <v>4847.1000000000004</v>
      </c>
      <c r="R116" s="70"/>
      <c r="S116" s="72">
        <v>26406.639999999999</v>
      </c>
      <c r="T116" s="58">
        <v>6</v>
      </c>
      <c r="U116" s="59">
        <v>4</v>
      </c>
      <c r="V116" s="15"/>
      <c r="W116" s="30" t="s">
        <v>16</v>
      </c>
      <c r="X116" s="17"/>
      <c r="Y116" s="18"/>
      <c r="Z116" s="18"/>
      <c r="AA116" s="18"/>
      <c r="AB116" s="18"/>
      <c r="AC116" s="18"/>
      <c r="AD116" s="17"/>
      <c r="AE116" s="17"/>
      <c r="AF116" s="17"/>
      <c r="AG116" s="59"/>
      <c r="AH116" s="18"/>
      <c r="AI116" s="85"/>
      <c r="AJ116" s="85"/>
      <c r="AK116" s="85"/>
      <c r="AL116" s="92"/>
      <c r="AM116" s="62"/>
      <c r="AN116" s="62"/>
      <c r="AO116" s="62"/>
      <c r="AP116" s="62"/>
      <c r="AQ116" s="62"/>
      <c r="AR116" s="92">
        <f t="shared" si="9"/>
        <v>0</v>
      </c>
      <c r="AS116" s="85"/>
      <c r="AT116" s="85"/>
      <c r="AU116" s="85"/>
      <c r="AV116" s="85"/>
      <c r="AW116" s="85"/>
      <c r="AX116" s="85"/>
      <c r="AY116" s="92"/>
      <c r="AZ116" s="85"/>
      <c r="BA116" s="85"/>
      <c r="BB116" s="92"/>
      <c r="BC116" s="92"/>
      <c r="BD116" s="107">
        <v>38</v>
      </c>
      <c r="BE116" s="107"/>
      <c r="BF116" s="79"/>
      <c r="BG116" s="107">
        <v>13.5</v>
      </c>
      <c r="BH116" s="107">
        <v>13</v>
      </c>
      <c r="BI116" s="107">
        <v>7</v>
      </c>
      <c r="BJ116" s="107">
        <v>7</v>
      </c>
      <c r="BK116" s="79"/>
      <c r="BL116" s="21" t="s">
        <v>29</v>
      </c>
    </row>
    <row r="117" spans="1:64" ht="36" customHeight="1" x14ac:dyDescent="0.3">
      <c r="A117" s="15">
        <v>115</v>
      </c>
      <c r="B117" s="16" t="s">
        <v>913</v>
      </c>
      <c r="C117" s="16" t="s">
        <v>914</v>
      </c>
      <c r="D117" s="15">
        <v>2022</v>
      </c>
      <c r="E117" s="17" t="s">
        <v>595</v>
      </c>
      <c r="F117" s="15" t="s">
        <v>596</v>
      </c>
      <c r="G117" s="19" t="s">
        <v>225</v>
      </c>
      <c r="H117" s="48">
        <v>72780000000</v>
      </c>
      <c r="I117" s="53">
        <v>353</v>
      </c>
      <c r="J117" s="48">
        <v>2474107648.7252126</v>
      </c>
      <c r="K117" s="18" t="s">
        <v>243</v>
      </c>
      <c r="L117" s="15" t="s">
        <v>136</v>
      </c>
      <c r="M117" s="15" t="s">
        <v>137</v>
      </c>
      <c r="N117" s="15" t="s">
        <v>90</v>
      </c>
      <c r="O117" s="15" t="s">
        <v>42</v>
      </c>
      <c r="P117" s="15" t="s">
        <v>31</v>
      </c>
      <c r="Q117" s="70">
        <v>13272</v>
      </c>
      <c r="R117" s="70">
        <v>2622.9490000000001</v>
      </c>
      <c r="S117" s="81">
        <v>17897.009999999998</v>
      </c>
      <c r="T117" s="48">
        <v>2</v>
      </c>
      <c r="U117" s="53">
        <v>4</v>
      </c>
      <c r="V117" s="15" t="s">
        <v>16</v>
      </c>
      <c r="W117" s="18" t="s">
        <v>16</v>
      </c>
      <c r="X117" s="18" t="s">
        <v>9</v>
      </c>
      <c r="Y117" s="18" t="s">
        <v>62</v>
      </c>
      <c r="Z117" s="18"/>
      <c r="AA117" s="18"/>
      <c r="AB117" s="18" t="s">
        <v>1196</v>
      </c>
      <c r="AC117" s="18"/>
      <c r="AD117" s="18" t="s">
        <v>1097</v>
      </c>
      <c r="AE117" s="18" t="s">
        <v>265</v>
      </c>
      <c r="AF117" s="18"/>
      <c r="AG117" s="85"/>
      <c r="AH117" s="18" t="s">
        <v>285</v>
      </c>
      <c r="AI117" s="85"/>
      <c r="AJ117" s="85"/>
      <c r="AK117" s="85"/>
      <c r="AL117" s="92"/>
      <c r="AM117" s="92"/>
      <c r="AN117" s="92"/>
      <c r="AO117" s="92"/>
      <c r="AP117" s="92"/>
      <c r="AQ117" s="92"/>
      <c r="AR117" s="92">
        <f t="shared" si="9"/>
        <v>0</v>
      </c>
      <c r="AS117" s="85"/>
      <c r="AT117" s="85"/>
      <c r="AU117" s="85"/>
      <c r="AV117" s="85"/>
      <c r="AW117" s="85"/>
      <c r="AX117" s="85"/>
      <c r="AY117" s="92"/>
      <c r="AZ117" s="85"/>
      <c r="BA117" s="85"/>
      <c r="BB117" s="92"/>
      <c r="BC117" s="92"/>
      <c r="BD117" s="101">
        <v>24</v>
      </c>
      <c r="BE117" s="102">
        <v>24</v>
      </c>
      <c r="BF117" s="79"/>
      <c r="BG117" s="79">
        <v>8.4</v>
      </c>
      <c r="BH117" s="79"/>
      <c r="BI117" s="79">
        <v>12</v>
      </c>
      <c r="BJ117" s="79">
        <v>10</v>
      </c>
      <c r="BK117" s="79">
        <v>8</v>
      </c>
      <c r="BL117" s="15"/>
    </row>
    <row r="118" spans="1:64" ht="36" customHeight="1" x14ac:dyDescent="0.3">
      <c r="A118" s="15">
        <v>116</v>
      </c>
      <c r="B118" s="16" t="s">
        <v>915</v>
      </c>
      <c r="C118" s="15"/>
      <c r="D118" s="15">
        <v>2022</v>
      </c>
      <c r="E118" s="21" t="s">
        <v>613</v>
      </c>
      <c r="F118" s="21" t="s">
        <v>30</v>
      </c>
      <c r="G118" s="44" t="s">
        <v>687</v>
      </c>
      <c r="H118" s="48">
        <v>166000000000</v>
      </c>
      <c r="I118" s="53"/>
      <c r="J118" s="53"/>
      <c r="K118" s="18" t="s">
        <v>36</v>
      </c>
      <c r="L118" s="17" t="s">
        <v>174</v>
      </c>
      <c r="M118" s="17" t="s">
        <v>171</v>
      </c>
      <c r="N118" s="17" t="s">
        <v>90</v>
      </c>
      <c r="O118" s="17" t="s">
        <v>42</v>
      </c>
      <c r="P118" s="17" t="s">
        <v>31</v>
      </c>
      <c r="Q118" s="76">
        <v>86552</v>
      </c>
      <c r="R118" s="70"/>
      <c r="S118" s="72">
        <v>33255.46</v>
      </c>
      <c r="T118" s="58">
        <v>1</v>
      </c>
      <c r="U118" s="59">
        <v>3</v>
      </c>
      <c r="V118" s="15"/>
      <c r="W118" s="30" t="s">
        <v>16</v>
      </c>
      <c r="X118" s="17"/>
      <c r="Y118" s="18"/>
      <c r="Z118" s="18"/>
      <c r="AA118" s="18"/>
      <c r="AB118" s="18"/>
      <c r="AC118" s="18"/>
      <c r="AD118" s="17"/>
      <c r="AE118" s="17"/>
      <c r="AF118" s="17"/>
      <c r="AG118" s="59"/>
      <c r="AH118" s="18"/>
      <c r="AI118" s="85"/>
      <c r="AJ118" s="85"/>
      <c r="AK118" s="85"/>
      <c r="AL118" s="92"/>
      <c r="AM118" s="62"/>
      <c r="AN118" s="62"/>
      <c r="AO118" s="62"/>
      <c r="AP118" s="62"/>
      <c r="AQ118" s="62"/>
      <c r="AR118" s="92">
        <f t="shared" si="9"/>
        <v>0</v>
      </c>
      <c r="AS118" s="85"/>
      <c r="AT118" s="85"/>
      <c r="AU118" s="85"/>
      <c r="AV118" s="85"/>
      <c r="AW118" s="85"/>
      <c r="AX118" s="85"/>
      <c r="AY118" s="92"/>
      <c r="AZ118" s="85"/>
      <c r="BA118" s="85"/>
      <c r="BB118" s="92"/>
      <c r="BC118" s="92"/>
      <c r="BD118" s="107">
        <v>30</v>
      </c>
      <c r="BE118" s="107"/>
      <c r="BF118" s="79"/>
      <c r="BG118" s="79"/>
      <c r="BH118" s="79"/>
      <c r="BI118" s="79"/>
      <c r="BJ118" s="79"/>
      <c r="BK118" s="79"/>
      <c r="BL118" s="21"/>
    </row>
    <row r="119" spans="1:64" ht="36" customHeight="1" x14ac:dyDescent="0.3">
      <c r="A119" s="15">
        <v>117</v>
      </c>
      <c r="B119" s="16" t="s">
        <v>916</v>
      </c>
      <c r="C119" s="16" t="s">
        <v>917</v>
      </c>
      <c r="D119" s="15">
        <v>2022</v>
      </c>
      <c r="E119" s="17" t="s">
        <v>598</v>
      </c>
      <c r="F119" s="15" t="s">
        <v>599</v>
      </c>
      <c r="G119" s="19" t="s">
        <v>225</v>
      </c>
      <c r="H119" s="48">
        <v>2065000000</v>
      </c>
      <c r="I119" s="53">
        <v>142</v>
      </c>
      <c r="J119" s="48">
        <v>174507042.25352111</v>
      </c>
      <c r="K119" s="18" t="s">
        <v>243</v>
      </c>
      <c r="L119" s="15" t="s">
        <v>155</v>
      </c>
      <c r="M119" s="15" t="s">
        <v>172</v>
      </c>
      <c r="N119" s="15" t="s">
        <v>90</v>
      </c>
      <c r="O119" s="15" t="s">
        <v>42</v>
      </c>
      <c r="P119" s="15" t="s">
        <v>623</v>
      </c>
      <c r="Q119" s="70">
        <v>4050</v>
      </c>
      <c r="R119" s="70">
        <v>2704.2240000000002</v>
      </c>
      <c r="S119" s="81">
        <v>25729</v>
      </c>
      <c r="T119" s="48">
        <v>2</v>
      </c>
      <c r="U119" s="53">
        <v>4</v>
      </c>
      <c r="V119" s="15" t="s">
        <v>16</v>
      </c>
      <c r="W119" s="18" t="s">
        <v>16</v>
      </c>
      <c r="X119" s="18" t="s">
        <v>9</v>
      </c>
      <c r="Y119" s="18" t="s">
        <v>62</v>
      </c>
      <c r="Z119" s="18"/>
      <c r="AA119" s="18"/>
      <c r="AB119" s="18" t="s">
        <v>20</v>
      </c>
      <c r="AC119" s="18"/>
      <c r="AD119" s="17"/>
      <c r="AE119" s="17"/>
      <c r="AF119" s="17"/>
      <c r="AG119" s="59"/>
      <c r="AH119" s="18"/>
      <c r="AI119" s="85"/>
      <c r="AJ119" s="85"/>
      <c r="AK119" s="85"/>
      <c r="AL119" s="92"/>
      <c r="AM119" s="92"/>
      <c r="AN119" s="92"/>
      <c r="AO119" s="92"/>
      <c r="AP119" s="92"/>
      <c r="AQ119" s="92"/>
      <c r="AR119" s="92">
        <f t="shared" si="9"/>
        <v>0</v>
      </c>
      <c r="AS119" s="85"/>
      <c r="AT119" s="85"/>
      <c r="AU119" s="85"/>
      <c r="AV119" s="85"/>
      <c r="AW119" s="85"/>
      <c r="AX119" s="85"/>
      <c r="AY119" s="92"/>
      <c r="AZ119" s="85"/>
      <c r="BA119" s="85"/>
      <c r="BB119" s="92"/>
      <c r="BC119" s="92"/>
      <c r="BD119" s="101">
        <v>5</v>
      </c>
      <c r="BE119" s="102"/>
      <c r="BF119" s="79"/>
      <c r="BG119" s="79">
        <f>197/30</f>
        <v>6.5666666666666664</v>
      </c>
      <c r="BH119" s="79"/>
      <c r="BI119" s="79">
        <f>236/30</f>
        <v>7.8666666666666663</v>
      </c>
      <c r="BJ119" s="79">
        <f>150/30</f>
        <v>5</v>
      </c>
      <c r="BK119" s="79">
        <v>5</v>
      </c>
      <c r="BL119" s="15"/>
    </row>
    <row r="120" spans="1:64" ht="36" customHeight="1" x14ac:dyDescent="0.3">
      <c r="A120" s="15">
        <v>118</v>
      </c>
      <c r="B120" s="16" t="s">
        <v>918</v>
      </c>
      <c r="C120" s="16" t="s">
        <v>919</v>
      </c>
      <c r="D120" s="15">
        <v>2022</v>
      </c>
      <c r="E120" s="17" t="s">
        <v>448</v>
      </c>
      <c r="F120" s="15" t="s">
        <v>449</v>
      </c>
      <c r="G120" s="19" t="s">
        <v>225</v>
      </c>
      <c r="H120" s="48">
        <v>47900000000</v>
      </c>
      <c r="I120" s="53">
        <v>152</v>
      </c>
      <c r="J120" s="48">
        <v>3781578947.3684216</v>
      </c>
      <c r="K120" s="18" t="s">
        <v>241</v>
      </c>
      <c r="L120" s="15" t="s">
        <v>173</v>
      </c>
      <c r="M120" s="15" t="s">
        <v>175</v>
      </c>
      <c r="N120" s="15" t="s">
        <v>90</v>
      </c>
      <c r="O120" s="15" t="s">
        <v>42</v>
      </c>
      <c r="P120" s="15" t="s">
        <v>7</v>
      </c>
      <c r="Q120" s="70">
        <v>73422.2</v>
      </c>
      <c r="R120" s="70">
        <v>18050.439999999999</v>
      </c>
      <c r="S120" s="81">
        <v>36402.949999999997</v>
      </c>
      <c r="T120" s="48">
        <v>1</v>
      </c>
      <c r="U120" s="53">
        <v>3</v>
      </c>
      <c r="V120" s="15"/>
      <c r="W120" s="18" t="s">
        <v>1050</v>
      </c>
      <c r="X120" s="18" t="s">
        <v>9</v>
      </c>
      <c r="Y120" s="18" t="s">
        <v>61</v>
      </c>
      <c r="Z120" s="18"/>
      <c r="AA120" s="18"/>
      <c r="AB120" s="18" t="s">
        <v>33</v>
      </c>
      <c r="AC120" s="18"/>
      <c r="AD120" s="18" t="s">
        <v>1082</v>
      </c>
      <c r="AE120" s="18" t="s">
        <v>481</v>
      </c>
      <c r="AF120" s="18"/>
      <c r="AG120" s="85"/>
      <c r="AH120" s="18" t="s">
        <v>285</v>
      </c>
      <c r="AI120" s="85"/>
      <c r="AJ120" s="85"/>
      <c r="AK120" s="85"/>
      <c r="AL120" s="92"/>
      <c r="AM120" s="92"/>
      <c r="AN120" s="92"/>
      <c r="AO120" s="92"/>
      <c r="AP120" s="92"/>
      <c r="AQ120" s="92"/>
      <c r="AR120" s="92">
        <f t="shared" si="9"/>
        <v>0</v>
      </c>
      <c r="AS120" s="85"/>
      <c r="AT120" s="85"/>
      <c r="AU120" s="85"/>
      <c r="AV120" s="85"/>
      <c r="AW120" s="85"/>
      <c r="AX120" s="85"/>
      <c r="AY120" s="92"/>
      <c r="AZ120" s="85"/>
      <c r="BA120" s="85"/>
      <c r="BB120" s="92"/>
      <c r="BC120" s="92"/>
      <c r="BD120" s="101">
        <v>15</v>
      </c>
      <c r="BE120" s="102">
        <f>368/30</f>
        <v>12.266666666666667</v>
      </c>
      <c r="BF120" s="79"/>
      <c r="BG120" s="79">
        <f>73/30</f>
        <v>2.4333333333333331</v>
      </c>
      <c r="BH120" s="79"/>
      <c r="BI120" s="79">
        <f>183/30</f>
        <v>6.1</v>
      </c>
      <c r="BJ120" s="79">
        <f>119/30</f>
        <v>3.9666666666666668</v>
      </c>
      <c r="BK120" s="79">
        <v>4.5</v>
      </c>
      <c r="BL120" s="15" t="s">
        <v>68</v>
      </c>
    </row>
    <row r="121" spans="1:64" ht="36" customHeight="1" x14ac:dyDescent="0.3">
      <c r="A121" s="15">
        <v>119</v>
      </c>
      <c r="B121" s="16" t="s">
        <v>920</v>
      </c>
      <c r="C121" s="16" t="s">
        <v>921</v>
      </c>
      <c r="D121" s="15">
        <v>2022</v>
      </c>
      <c r="E121" s="17" t="s">
        <v>548</v>
      </c>
      <c r="F121" s="15" t="s">
        <v>549</v>
      </c>
      <c r="G121" s="19" t="s">
        <v>225</v>
      </c>
      <c r="H121" s="48">
        <v>36014000000</v>
      </c>
      <c r="I121" s="53">
        <v>219.5</v>
      </c>
      <c r="J121" s="48">
        <v>1968874715.2619591</v>
      </c>
      <c r="K121" s="18" t="s">
        <v>241</v>
      </c>
      <c r="L121" s="15" t="s">
        <v>93</v>
      </c>
      <c r="M121" s="15" t="s">
        <v>122</v>
      </c>
      <c r="N121" s="15" t="s">
        <v>199</v>
      </c>
      <c r="O121" s="15" t="s">
        <v>42</v>
      </c>
      <c r="P121" s="18" t="s">
        <v>4</v>
      </c>
      <c r="Q121" s="70">
        <v>6557</v>
      </c>
      <c r="R121" s="70">
        <v>3591.95</v>
      </c>
      <c r="S121" s="81">
        <v>9349.92</v>
      </c>
      <c r="T121" s="48">
        <v>1</v>
      </c>
      <c r="U121" s="53">
        <v>5</v>
      </c>
      <c r="V121" s="15" t="s">
        <v>16</v>
      </c>
      <c r="W121" s="18" t="s">
        <v>16</v>
      </c>
      <c r="X121" s="18" t="s">
        <v>9</v>
      </c>
      <c r="Y121" s="18" t="s">
        <v>62</v>
      </c>
      <c r="Z121" s="18"/>
      <c r="AA121" s="18"/>
      <c r="AB121" s="18" t="s">
        <v>456</v>
      </c>
      <c r="AC121" s="18"/>
      <c r="AD121" s="18" t="s">
        <v>1209</v>
      </c>
      <c r="AE121" s="18" t="s">
        <v>447</v>
      </c>
      <c r="AF121" s="18"/>
      <c r="AG121" s="85"/>
      <c r="AH121" s="18" t="s">
        <v>264</v>
      </c>
      <c r="AI121" s="85"/>
      <c r="AJ121" s="85"/>
      <c r="AK121" s="85"/>
      <c r="AL121" s="92"/>
      <c r="AM121" s="92"/>
      <c r="AN121" s="92"/>
      <c r="AO121" s="92"/>
      <c r="AP121" s="92"/>
      <c r="AQ121" s="92"/>
      <c r="AR121" s="92">
        <f t="shared" si="9"/>
        <v>0</v>
      </c>
      <c r="AS121" s="85"/>
      <c r="AT121" s="85"/>
      <c r="AU121" s="85"/>
      <c r="AV121" s="85"/>
      <c r="AW121" s="85"/>
      <c r="AX121" s="85"/>
      <c r="AY121" s="92"/>
      <c r="AZ121" s="85"/>
      <c r="BA121" s="85"/>
      <c r="BB121" s="92"/>
      <c r="BC121" s="92"/>
      <c r="BD121" s="101">
        <v>19</v>
      </c>
      <c r="BE121" s="102">
        <f>565/30</f>
        <v>18.833333333333332</v>
      </c>
      <c r="BF121" s="79"/>
      <c r="BG121" s="79">
        <f>277/30</f>
        <v>9.2333333333333325</v>
      </c>
      <c r="BH121" s="79"/>
      <c r="BI121" s="79">
        <f>478/30</f>
        <v>15.933333333333334</v>
      </c>
      <c r="BJ121" s="79">
        <f>151/30</f>
        <v>5.0333333333333332</v>
      </c>
      <c r="BK121" s="79">
        <f>264/30</f>
        <v>8.8000000000000007</v>
      </c>
      <c r="BL121" s="15"/>
    </row>
    <row r="122" spans="1:64" ht="36" customHeight="1" x14ac:dyDescent="0.3">
      <c r="A122" s="15">
        <v>120</v>
      </c>
      <c r="B122" s="16" t="s">
        <v>922</v>
      </c>
      <c r="C122" s="16" t="s">
        <v>923</v>
      </c>
      <c r="D122" s="15">
        <v>2022</v>
      </c>
      <c r="E122" s="17" t="s">
        <v>445</v>
      </c>
      <c r="F122" s="15" t="s">
        <v>446</v>
      </c>
      <c r="G122" s="19" t="s">
        <v>225</v>
      </c>
      <c r="H122" s="48">
        <v>140646000000</v>
      </c>
      <c r="I122" s="53"/>
      <c r="J122" s="48"/>
      <c r="K122" s="18" t="s">
        <v>241</v>
      </c>
      <c r="L122" s="15" t="s">
        <v>93</v>
      </c>
      <c r="M122" s="15" t="s">
        <v>178</v>
      </c>
      <c r="N122" s="15" t="s">
        <v>199</v>
      </c>
      <c r="O122" s="15" t="s">
        <v>5</v>
      </c>
      <c r="P122" s="15" t="s">
        <v>72</v>
      </c>
      <c r="Q122" s="70">
        <v>3991.5</v>
      </c>
      <c r="R122" s="70">
        <v>2389.9899999999998</v>
      </c>
      <c r="S122" s="81">
        <v>54865.94</v>
      </c>
      <c r="T122" s="48">
        <v>6</v>
      </c>
      <c r="U122" s="53">
        <v>19</v>
      </c>
      <c r="V122" s="15" t="s">
        <v>18</v>
      </c>
      <c r="W122" s="18" t="s">
        <v>18</v>
      </c>
      <c r="X122" s="18" t="s">
        <v>64</v>
      </c>
      <c r="Y122" s="18" t="s">
        <v>444</v>
      </c>
      <c r="Z122" s="18" t="s">
        <v>1075</v>
      </c>
      <c r="AA122" s="18" t="s">
        <v>41</v>
      </c>
      <c r="AB122" s="18" t="s">
        <v>455</v>
      </c>
      <c r="AC122" s="18"/>
      <c r="AD122" s="18" t="s">
        <v>1088</v>
      </c>
      <c r="AE122" s="18" t="s">
        <v>265</v>
      </c>
      <c r="AF122" s="18"/>
      <c r="AG122" s="85"/>
      <c r="AH122" s="18" t="s">
        <v>264</v>
      </c>
      <c r="AI122" s="85"/>
      <c r="AJ122" s="85"/>
      <c r="AK122" s="85"/>
      <c r="AL122" s="92"/>
      <c r="AM122" s="92"/>
      <c r="AN122" s="92"/>
      <c r="AO122" s="92"/>
      <c r="AP122" s="92"/>
      <c r="AQ122" s="92"/>
      <c r="AR122" s="92">
        <f t="shared" si="9"/>
        <v>0</v>
      </c>
      <c r="AS122" s="85"/>
      <c r="AT122" s="85"/>
      <c r="AU122" s="85"/>
      <c r="AV122" s="85"/>
      <c r="AW122" s="85"/>
      <c r="AX122" s="85"/>
      <c r="AY122" s="92"/>
      <c r="AZ122" s="85"/>
      <c r="BA122" s="85"/>
      <c r="BB122" s="92"/>
      <c r="BC122" s="92"/>
      <c r="BD122" s="102">
        <v>29</v>
      </c>
      <c r="BE122" s="102"/>
      <c r="BF122" s="79"/>
      <c r="BG122" s="79">
        <v>11</v>
      </c>
      <c r="BH122" s="79"/>
      <c r="BI122" s="79">
        <v>13</v>
      </c>
      <c r="BJ122" s="79">
        <v>4</v>
      </c>
      <c r="BK122" s="79">
        <v>10</v>
      </c>
      <c r="BL122" s="15" t="s">
        <v>32</v>
      </c>
    </row>
    <row r="123" spans="1:64" ht="36" customHeight="1" x14ac:dyDescent="0.3">
      <c r="A123" s="15">
        <v>121</v>
      </c>
      <c r="B123" s="16" t="s">
        <v>924</v>
      </c>
      <c r="C123" s="16" t="s">
        <v>925</v>
      </c>
      <c r="D123" s="15">
        <v>2023</v>
      </c>
      <c r="E123" s="17" t="s">
        <v>550</v>
      </c>
      <c r="F123" s="15" t="s">
        <v>551</v>
      </c>
      <c r="G123" s="19" t="s">
        <v>225</v>
      </c>
      <c r="H123" s="48">
        <v>50079525000</v>
      </c>
      <c r="I123" s="53">
        <v>229</v>
      </c>
      <c r="J123" s="48">
        <v>2624254585.1528387</v>
      </c>
      <c r="K123" s="18" t="s">
        <v>241</v>
      </c>
      <c r="L123" s="15" t="s">
        <v>158</v>
      </c>
      <c r="M123" s="15" t="s">
        <v>179</v>
      </c>
      <c r="N123" s="15" t="s">
        <v>199</v>
      </c>
      <c r="O123" s="15" t="s">
        <v>5</v>
      </c>
      <c r="P123" s="18" t="s">
        <v>4</v>
      </c>
      <c r="Q123" s="70">
        <v>6600</v>
      </c>
      <c r="R123" s="70">
        <v>4184.34</v>
      </c>
      <c r="S123" s="81">
        <v>101875.98</v>
      </c>
      <c r="T123" s="48">
        <v>7</v>
      </c>
      <c r="U123" s="53">
        <v>28</v>
      </c>
      <c r="V123" s="15" t="s">
        <v>18</v>
      </c>
      <c r="W123" s="18" t="s">
        <v>18</v>
      </c>
      <c r="X123" s="18"/>
      <c r="Y123" s="18"/>
      <c r="Z123" s="18"/>
      <c r="AA123" s="18"/>
      <c r="AB123" s="18"/>
      <c r="AC123" s="18"/>
      <c r="AD123" s="18" t="s">
        <v>267</v>
      </c>
      <c r="AE123" s="18" t="s">
        <v>265</v>
      </c>
      <c r="AF123" s="18"/>
      <c r="AG123" s="85"/>
      <c r="AH123" s="18"/>
      <c r="AI123" s="85"/>
      <c r="AJ123" s="85"/>
      <c r="AK123" s="85"/>
      <c r="AL123" s="92"/>
      <c r="AM123" s="92"/>
      <c r="AN123" s="92"/>
      <c r="AO123" s="92"/>
      <c r="AP123" s="92"/>
      <c r="AQ123" s="92"/>
      <c r="AR123" s="92">
        <f t="shared" si="9"/>
        <v>0</v>
      </c>
      <c r="AS123" s="85"/>
      <c r="AT123" s="85"/>
      <c r="AU123" s="85"/>
      <c r="AV123" s="85"/>
      <c r="AW123" s="85"/>
      <c r="AX123" s="85"/>
      <c r="AY123" s="92"/>
      <c r="AZ123" s="85"/>
      <c r="BA123" s="85"/>
      <c r="BB123" s="92"/>
      <c r="BC123" s="92"/>
      <c r="BD123" s="101">
        <v>18.8</v>
      </c>
      <c r="BE123" s="102">
        <f>413/30</f>
        <v>13.766666666666667</v>
      </c>
      <c r="BF123" s="79">
        <f>169/30</f>
        <v>5.6333333333333337</v>
      </c>
      <c r="BG123" s="79"/>
      <c r="BH123" s="79"/>
      <c r="BI123" s="79">
        <f>110/30</f>
        <v>3.6666666666666665</v>
      </c>
      <c r="BJ123" s="79">
        <f>290/30</f>
        <v>9.6666666666666661</v>
      </c>
      <c r="BK123" s="79">
        <f>366/30</f>
        <v>12.2</v>
      </c>
      <c r="BL123" s="15"/>
    </row>
    <row r="124" spans="1:64" ht="36" customHeight="1" x14ac:dyDescent="0.3">
      <c r="A124" s="15">
        <v>122</v>
      </c>
      <c r="B124" s="16" t="s">
        <v>926</v>
      </c>
      <c r="C124" s="16" t="s">
        <v>927</v>
      </c>
      <c r="D124" s="15">
        <v>2023</v>
      </c>
      <c r="E124" s="17" t="s">
        <v>442</v>
      </c>
      <c r="F124" s="15" t="s">
        <v>443</v>
      </c>
      <c r="G124" s="19" t="s">
        <v>225</v>
      </c>
      <c r="H124" s="48">
        <v>50651000000</v>
      </c>
      <c r="I124" s="53">
        <v>164</v>
      </c>
      <c r="J124" s="48">
        <v>3706170731.7073174</v>
      </c>
      <c r="K124" s="18" t="s">
        <v>241</v>
      </c>
      <c r="L124" s="15" t="s">
        <v>116</v>
      </c>
      <c r="M124" s="15" t="s">
        <v>180</v>
      </c>
      <c r="N124" s="15" t="s">
        <v>90</v>
      </c>
      <c r="O124" s="15" t="s">
        <v>42</v>
      </c>
      <c r="P124" s="15" t="s">
        <v>497</v>
      </c>
      <c r="Q124" s="70">
        <v>12186.22</v>
      </c>
      <c r="R124" s="70">
        <v>8104</v>
      </c>
      <c r="S124" s="81">
        <v>48485.22</v>
      </c>
      <c r="T124" s="48">
        <v>0</v>
      </c>
      <c r="U124" s="53">
        <v>6</v>
      </c>
      <c r="V124" s="15"/>
      <c r="W124" s="18" t="s">
        <v>24</v>
      </c>
      <c r="X124" s="18" t="s">
        <v>9</v>
      </c>
      <c r="Y124" s="18"/>
      <c r="Z124" s="18"/>
      <c r="AA124" s="18"/>
      <c r="AB124" s="18" t="s">
        <v>33</v>
      </c>
      <c r="AC124" s="18"/>
      <c r="AD124" s="18" t="s">
        <v>338</v>
      </c>
      <c r="AE124" s="18" t="s">
        <v>660</v>
      </c>
      <c r="AF124" s="18"/>
      <c r="AG124" s="85"/>
      <c r="AH124" s="18" t="s">
        <v>264</v>
      </c>
      <c r="AI124" s="85"/>
      <c r="AJ124" s="85"/>
      <c r="AK124" s="85"/>
      <c r="AL124" s="92"/>
      <c r="AM124" s="92"/>
      <c r="AN124" s="92"/>
      <c r="AO124" s="92"/>
      <c r="AP124" s="92"/>
      <c r="AQ124" s="92"/>
      <c r="AR124" s="92">
        <f t="shared" si="9"/>
        <v>0</v>
      </c>
      <c r="AS124" s="85"/>
      <c r="AT124" s="85"/>
      <c r="AU124" s="85"/>
      <c r="AV124" s="85"/>
      <c r="AW124" s="85"/>
      <c r="AX124" s="85"/>
      <c r="AY124" s="92"/>
      <c r="AZ124" s="85"/>
      <c r="BA124" s="85"/>
      <c r="BB124" s="92"/>
      <c r="BC124" s="92"/>
      <c r="BD124" s="101">
        <v>18</v>
      </c>
      <c r="BE124" s="102">
        <f>324/30</f>
        <v>10.8</v>
      </c>
      <c r="BF124" s="79">
        <f>16/30</f>
        <v>0.53333333333333333</v>
      </c>
      <c r="BG124" s="79">
        <f>58/30</f>
        <v>1.9333333333333333</v>
      </c>
      <c r="BH124" s="79">
        <f>150/30</f>
        <v>5</v>
      </c>
      <c r="BI124" s="79">
        <f>156/30</f>
        <v>5.2</v>
      </c>
      <c r="BJ124" s="79"/>
      <c r="BK124" s="79">
        <f>208/30</f>
        <v>6.9333333333333336</v>
      </c>
      <c r="BL124" s="15" t="s">
        <v>661</v>
      </c>
    </row>
    <row r="125" spans="1:64" ht="36" customHeight="1" x14ac:dyDescent="0.3">
      <c r="A125" s="15">
        <v>123</v>
      </c>
      <c r="B125" s="16" t="s">
        <v>928</v>
      </c>
      <c r="C125" s="16" t="s">
        <v>929</v>
      </c>
      <c r="D125" s="15">
        <v>2023</v>
      </c>
      <c r="E125" s="17" t="s">
        <v>439</v>
      </c>
      <c r="F125" s="15" t="s">
        <v>440</v>
      </c>
      <c r="G125" s="19" t="s">
        <v>225</v>
      </c>
      <c r="H125" s="48">
        <v>72358000000</v>
      </c>
      <c r="I125" s="53"/>
      <c r="J125" s="48"/>
      <c r="K125" s="18" t="s">
        <v>241</v>
      </c>
      <c r="L125" s="15" t="s">
        <v>93</v>
      </c>
      <c r="M125" s="15" t="s">
        <v>106</v>
      </c>
      <c r="N125" s="15" t="s">
        <v>199</v>
      </c>
      <c r="O125" s="15" t="s">
        <v>42</v>
      </c>
      <c r="P125" s="15" t="s">
        <v>4</v>
      </c>
      <c r="Q125" s="70">
        <v>3262</v>
      </c>
      <c r="R125" s="70">
        <v>1555.45</v>
      </c>
      <c r="S125" s="81">
        <v>22333.78</v>
      </c>
      <c r="T125" s="48">
        <v>6</v>
      </c>
      <c r="U125" s="53">
        <v>10</v>
      </c>
      <c r="V125" s="15" t="s">
        <v>16</v>
      </c>
      <c r="W125" s="18" t="s">
        <v>16</v>
      </c>
      <c r="X125" s="18" t="s">
        <v>9</v>
      </c>
      <c r="Y125" s="18" t="s">
        <v>444</v>
      </c>
      <c r="Z125" s="18"/>
      <c r="AA125" s="18"/>
      <c r="AB125" s="18" t="s">
        <v>20</v>
      </c>
      <c r="AC125" s="18"/>
      <c r="AD125" s="18" t="s">
        <v>1212</v>
      </c>
      <c r="AE125" s="18" t="s">
        <v>501</v>
      </c>
      <c r="AF125" s="18"/>
      <c r="AG125" s="85"/>
      <c r="AH125" s="18" t="s">
        <v>264</v>
      </c>
      <c r="AI125" s="85"/>
      <c r="AJ125" s="85"/>
      <c r="AK125" s="85"/>
      <c r="AL125" s="92"/>
      <c r="AM125" s="92"/>
      <c r="AN125" s="92"/>
      <c r="AO125" s="92"/>
      <c r="AP125" s="92"/>
      <c r="AQ125" s="92"/>
      <c r="AR125" s="92">
        <f t="shared" si="9"/>
        <v>0</v>
      </c>
      <c r="AS125" s="85"/>
      <c r="AT125" s="85"/>
      <c r="AU125" s="85"/>
      <c r="AV125" s="85"/>
      <c r="AW125" s="85"/>
      <c r="AX125" s="85"/>
      <c r="AY125" s="92"/>
      <c r="AZ125" s="85"/>
      <c r="BA125" s="85"/>
      <c r="BB125" s="92"/>
      <c r="BC125" s="92"/>
      <c r="BD125" s="102" t="s">
        <v>686</v>
      </c>
      <c r="BE125" s="102"/>
      <c r="BF125" s="79"/>
      <c r="BG125" s="79">
        <f>443/30</f>
        <v>14.766666666666667</v>
      </c>
      <c r="BH125" s="79"/>
      <c r="BI125" s="79">
        <f>435/30</f>
        <v>14.5</v>
      </c>
      <c r="BJ125" s="79">
        <f>254/30</f>
        <v>8.4666666666666668</v>
      </c>
      <c r="BK125" s="79">
        <f>380/30</f>
        <v>12.666666666666666</v>
      </c>
      <c r="BL125" s="18" t="s">
        <v>441</v>
      </c>
    </row>
    <row r="126" spans="1:64" ht="36" customHeight="1" x14ac:dyDescent="0.3">
      <c r="A126" s="15">
        <v>124</v>
      </c>
      <c r="B126" s="16" t="s">
        <v>930</v>
      </c>
      <c r="C126" s="16" t="s">
        <v>931</v>
      </c>
      <c r="D126" s="15">
        <v>2023</v>
      </c>
      <c r="E126" s="17" t="s">
        <v>552</v>
      </c>
      <c r="F126" s="15" t="s">
        <v>443</v>
      </c>
      <c r="G126" s="19" t="s">
        <v>225</v>
      </c>
      <c r="H126" s="48">
        <v>45335000000</v>
      </c>
      <c r="I126" s="53">
        <v>295</v>
      </c>
      <c r="J126" s="48">
        <v>1844135593.2203388</v>
      </c>
      <c r="K126" s="18" t="s">
        <v>241</v>
      </c>
      <c r="L126" s="15" t="s">
        <v>120</v>
      </c>
      <c r="M126" s="15" t="s">
        <v>121</v>
      </c>
      <c r="N126" s="15" t="s">
        <v>90</v>
      </c>
      <c r="O126" s="15" t="s">
        <v>42</v>
      </c>
      <c r="P126" s="18" t="s">
        <v>697</v>
      </c>
      <c r="Q126" s="70">
        <v>11183</v>
      </c>
      <c r="R126" s="70">
        <v>2235.48</v>
      </c>
      <c r="S126" s="81">
        <v>9684.39</v>
      </c>
      <c r="T126" s="48">
        <v>1</v>
      </c>
      <c r="U126" s="53">
        <v>4</v>
      </c>
      <c r="V126" s="15" t="s">
        <v>16</v>
      </c>
      <c r="W126" s="18" t="s">
        <v>16</v>
      </c>
      <c r="X126" s="18" t="s">
        <v>9</v>
      </c>
      <c r="Y126" s="18"/>
      <c r="Z126" s="18"/>
      <c r="AA126" s="18"/>
      <c r="AB126" s="18" t="s">
        <v>1196</v>
      </c>
      <c r="AC126" s="18"/>
      <c r="AD126" s="18" t="s">
        <v>1088</v>
      </c>
      <c r="AE126" s="18" t="s">
        <v>266</v>
      </c>
      <c r="AF126" s="18"/>
      <c r="AG126" s="85"/>
      <c r="AH126" s="18" t="s">
        <v>285</v>
      </c>
      <c r="AI126" s="85"/>
      <c r="AJ126" s="85"/>
      <c r="AK126" s="85"/>
      <c r="AL126" s="92"/>
      <c r="AM126" s="92"/>
      <c r="AN126" s="92"/>
      <c r="AO126" s="92"/>
      <c r="AP126" s="92"/>
      <c r="AQ126" s="92"/>
      <c r="AR126" s="92">
        <f t="shared" ref="AR126:AR157" si="10">AL126</f>
        <v>0</v>
      </c>
      <c r="AS126" s="85"/>
      <c r="AT126" s="85"/>
      <c r="AU126" s="85"/>
      <c r="AV126" s="85"/>
      <c r="AW126" s="85"/>
      <c r="AX126" s="85"/>
      <c r="AY126" s="92"/>
      <c r="AZ126" s="85"/>
      <c r="BA126" s="85"/>
      <c r="BB126" s="92"/>
      <c r="BC126" s="92"/>
      <c r="BD126" s="101">
        <v>27.5</v>
      </c>
      <c r="BE126" s="102">
        <f>548/30</f>
        <v>18.266666666666666</v>
      </c>
      <c r="BF126" s="79"/>
      <c r="BG126" s="79">
        <f>144/30</f>
        <v>4.8</v>
      </c>
      <c r="BH126" s="79"/>
      <c r="BI126" s="79">
        <f>167/30</f>
        <v>5.5666666666666664</v>
      </c>
      <c r="BJ126" s="79">
        <f>227/30</f>
        <v>7.5666666666666664</v>
      </c>
      <c r="BK126" s="79">
        <f>256/30</f>
        <v>8.5333333333333332</v>
      </c>
      <c r="BL126" s="15"/>
    </row>
    <row r="127" spans="1:64" ht="36" customHeight="1" x14ac:dyDescent="0.3">
      <c r="A127" s="15">
        <v>125</v>
      </c>
      <c r="B127" s="16" t="s">
        <v>932</v>
      </c>
      <c r="C127" s="16" t="s">
        <v>933</v>
      </c>
      <c r="D127" s="15">
        <v>2023</v>
      </c>
      <c r="E127" s="17" t="s">
        <v>37</v>
      </c>
      <c r="F127" s="15" t="s">
        <v>438</v>
      </c>
      <c r="G127" s="19" t="s">
        <v>225</v>
      </c>
      <c r="H127" s="48">
        <v>178220510000</v>
      </c>
      <c r="I127" s="53"/>
      <c r="J127" s="48"/>
      <c r="K127" s="18" t="s">
        <v>241</v>
      </c>
      <c r="L127" s="15" t="s">
        <v>134</v>
      </c>
      <c r="M127" s="15" t="s">
        <v>181</v>
      </c>
      <c r="N127" s="15" t="s">
        <v>90</v>
      </c>
      <c r="O127" s="15" t="s">
        <v>42</v>
      </c>
      <c r="P127" s="15" t="s">
        <v>14</v>
      </c>
      <c r="Q127" s="70">
        <v>89576</v>
      </c>
      <c r="R127" s="70">
        <v>32485.48</v>
      </c>
      <c r="S127" s="81">
        <v>92663.48</v>
      </c>
      <c r="T127" s="48">
        <v>2</v>
      </c>
      <c r="U127" s="53">
        <v>5</v>
      </c>
      <c r="V127" s="15" t="s">
        <v>16</v>
      </c>
      <c r="W127" s="18" t="s">
        <v>1050</v>
      </c>
      <c r="X127" s="18" t="s">
        <v>9</v>
      </c>
      <c r="Y127" s="18"/>
      <c r="Z127" s="18"/>
      <c r="AA127" s="18"/>
      <c r="AB127" s="18" t="s">
        <v>1196</v>
      </c>
      <c r="AC127" s="18" t="s">
        <v>74</v>
      </c>
      <c r="AD127" s="18" t="s">
        <v>597</v>
      </c>
      <c r="AE127" s="18" t="s">
        <v>500</v>
      </c>
      <c r="AF127" s="18"/>
      <c r="AG127" s="85"/>
      <c r="AH127" s="18"/>
      <c r="AI127" s="85"/>
      <c r="AJ127" s="85"/>
      <c r="AK127" s="85"/>
      <c r="AL127" s="92">
        <f>SUM(AM127:AQ127)</f>
        <v>139543</v>
      </c>
      <c r="AM127" s="92">
        <v>139543</v>
      </c>
      <c r="AN127" s="92"/>
      <c r="AO127" s="92"/>
      <c r="AP127" s="92"/>
      <c r="AQ127" s="92"/>
      <c r="AR127" s="92">
        <f t="shared" si="10"/>
        <v>139543</v>
      </c>
      <c r="AS127" s="85"/>
      <c r="AT127" s="85"/>
      <c r="AU127" s="85"/>
      <c r="AV127" s="85"/>
      <c r="AW127" s="85"/>
      <c r="AX127" s="85"/>
      <c r="AY127" s="92">
        <f>820+522</f>
        <v>1342</v>
      </c>
      <c r="AZ127" s="85"/>
      <c r="BA127" s="85"/>
      <c r="BB127" s="92"/>
      <c r="BC127" s="92">
        <v>4597</v>
      </c>
      <c r="BD127" s="102">
        <v>25</v>
      </c>
      <c r="BE127" s="102"/>
      <c r="BF127" s="79"/>
      <c r="BG127" s="79">
        <v>2.5</v>
      </c>
      <c r="BH127" s="79"/>
      <c r="BI127" s="79">
        <v>13.5</v>
      </c>
      <c r="BJ127" s="79">
        <v>7</v>
      </c>
      <c r="BK127" s="79">
        <v>6</v>
      </c>
      <c r="BL127" s="15"/>
    </row>
    <row r="128" spans="1:64" ht="36" customHeight="1" x14ac:dyDescent="0.3">
      <c r="A128" s="15">
        <v>126</v>
      </c>
      <c r="B128" s="16" t="s">
        <v>934</v>
      </c>
      <c r="C128" s="16" t="s">
        <v>935</v>
      </c>
      <c r="D128" s="15">
        <v>2023</v>
      </c>
      <c r="E128" s="17" t="s">
        <v>553</v>
      </c>
      <c r="F128" s="15" t="s">
        <v>554</v>
      </c>
      <c r="G128" s="19" t="s">
        <v>225</v>
      </c>
      <c r="H128" s="48">
        <v>27300000000</v>
      </c>
      <c r="I128" s="53">
        <v>159</v>
      </c>
      <c r="J128" s="48">
        <v>2060377358.4905658</v>
      </c>
      <c r="K128" s="18" t="s">
        <v>243</v>
      </c>
      <c r="L128" s="15" t="s">
        <v>186</v>
      </c>
      <c r="M128" s="15" t="s">
        <v>437</v>
      </c>
      <c r="N128" s="15" t="s">
        <v>90</v>
      </c>
      <c r="O128" s="15" t="s">
        <v>42</v>
      </c>
      <c r="P128" s="17" t="s">
        <v>25</v>
      </c>
      <c r="Q128" s="70">
        <v>7969.6</v>
      </c>
      <c r="R128" s="70">
        <v>3627.18</v>
      </c>
      <c r="S128" s="81">
        <v>9828.39</v>
      </c>
      <c r="T128" s="48">
        <v>0</v>
      </c>
      <c r="U128" s="53">
        <v>4</v>
      </c>
      <c r="V128" s="15" t="s">
        <v>16</v>
      </c>
      <c r="W128" s="18" t="s">
        <v>16</v>
      </c>
      <c r="X128" s="18" t="s">
        <v>9</v>
      </c>
      <c r="Y128" s="18" t="s">
        <v>62</v>
      </c>
      <c r="Z128" s="18"/>
      <c r="AA128" s="18"/>
      <c r="AB128" s="18" t="s">
        <v>33</v>
      </c>
      <c r="AC128" s="18"/>
      <c r="AD128" s="18" t="s">
        <v>1082</v>
      </c>
      <c r="AE128" s="18" t="s">
        <v>1215</v>
      </c>
      <c r="AF128" s="18"/>
      <c r="AG128" s="85"/>
      <c r="AH128" s="18" t="s">
        <v>264</v>
      </c>
      <c r="AI128" s="85"/>
      <c r="AJ128" s="85"/>
      <c r="AK128" s="85"/>
      <c r="AL128" s="92"/>
      <c r="AM128" s="92"/>
      <c r="AN128" s="92"/>
      <c r="AO128" s="92"/>
      <c r="AP128" s="92"/>
      <c r="AQ128" s="92"/>
      <c r="AR128" s="92">
        <f t="shared" si="10"/>
        <v>0</v>
      </c>
      <c r="AS128" s="85"/>
      <c r="AT128" s="85"/>
      <c r="AU128" s="85"/>
      <c r="AV128" s="85"/>
      <c r="AW128" s="85"/>
      <c r="AX128" s="85"/>
      <c r="AY128" s="92"/>
      <c r="AZ128" s="85"/>
      <c r="BA128" s="85"/>
      <c r="BB128" s="92"/>
      <c r="BC128" s="92"/>
      <c r="BD128" s="101">
        <v>18</v>
      </c>
      <c r="BE128" s="102">
        <f>545/30</f>
        <v>18.166666666666668</v>
      </c>
      <c r="BF128" s="79"/>
      <c r="BG128" s="79">
        <f>190/30</f>
        <v>6.333333333333333</v>
      </c>
      <c r="BH128" s="79"/>
      <c r="BI128" s="79">
        <f>206/30</f>
        <v>6.8666666666666663</v>
      </c>
      <c r="BJ128" s="79">
        <v>6</v>
      </c>
      <c r="BK128" s="79">
        <v>6</v>
      </c>
      <c r="BL128" s="15" t="s">
        <v>38</v>
      </c>
    </row>
    <row r="129" spans="1:64" ht="36" customHeight="1" x14ac:dyDescent="0.3">
      <c r="A129" s="15">
        <v>127</v>
      </c>
      <c r="B129" s="16" t="s">
        <v>936</v>
      </c>
      <c r="C129" s="16" t="s">
        <v>937</v>
      </c>
      <c r="D129" s="15">
        <v>2023</v>
      </c>
      <c r="E129" s="17" t="s">
        <v>648</v>
      </c>
      <c r="F129" s="15" t="s">
        <v>649</v>
      </c>
      <c r="G129" s="19" t="s">
        <v>225</v>
      </c>
      <c r="H129" s="48">
        <v>105500000000</v>
      </c>
      <c r="I129" s="53"/>
      <c r="J129" s="53"/>
      <c r="K129" s="18" t="s">
        <v>241</v>
      </c>
      <c r="L129" s="15" t="s">
        <v>93</v>
      </c>
      <c r="M129" s="15" t="s">
        <v>182</v>
      </c>
      <c r="N129" s="15" t="s">
        <v>199</v>
      </c>
      <c r="O129" s="15" t="s">
        <v>42</v>
      </c>
      <c r="P129" s="17" t="s">
        <v>4</v>
      </c>
      <c r="Q129" s="70">
        <v>1887.89</v>
      </c>
      <c r="R129" s="70">
        <v>1050.3499999999999</v>
      </c>
      <c r="S129" s="81">
        <v>22316.67</v>
      </c>
      <c r="T129" s="48">
        <v>7</v>
      </c>
      <c r="U129" s="53">
        <v>20</v>
      </c>
      <c r="V129" s="18" t="s">
        <v>18</v>
      </c>
      <c r="W129" s="18" t="s">
        <v>18</v>
      </c>
      <c r="X129" s="18" t="s">
        <v>64</v>
      </c>
      <c r="Y129" s="18"/>
      <c r="Z129" s="18" t="s">
        <v>1075</v>
      </c>
      <c r="AA129" s="18" t="s">
        <v>41</v>
      </c>
      <c r="AB129" s="18" t="s">
        <v>20</v>
      </c>
      <c r="AC129" s="18"/>
      <c r="AD129" s="18" t="s">
        <v>1209</v>
      </c>
      <c r="AE129" s="18" t="s">
        <v>265</v>
      </c>
      <c r="AF129" s="18"/>
      <c r="AG129" s="85"/>
      <c r="AH129" s="18" t="s">
        <v>264</v>
      </c>
      <c r="AI129" s="85"/>
      <c r="AJ129" s="85"/>
      <c r="AK129" s="85"/>
      <c r="AL129" s="92"/>
      <c r="AM129" s="92"/>
      <c r="AN129" s="92"/>
      <c r="AO129" s="92"/>
      <c r="AP129" s="92"/>
      <c r="AQ129" s="92"/>
      <c r="AR129" s="92">
        <f t="shared" si="10"/>
        <v>0</v>
      </c>
      <c r="AS129" s="85"/>
      <c r="AT129" s="85"/>
      <c r="AU129" s="85"/>
      <c r="AV129" s="85"/>
      <c r="AW129" s="85"/>
      <c r="AX129" s="85"/>
      <c r="AY129" s="92"/>
      <c r="AZ129" s="85"/>
      <c r="BA129" s="85"/>
      <c r="BB129" s="92"/>
      <c r="BC129" s="92"/>
      <c r="BD129" s="101">
        <v>39.5</v>
      </c>
      <c r="BE129" s="102"/>
      <c r="BF129" s="79"/>
      <c r="BG129" s="79">
        <v>29</v>
      </c>
      <c r="BH129" s="79"/>
      <c r="BI129" s="79">
        <v>22.5</v>
      </c>
      <c r="BJ129" s="79">
        <v>11.5</v>
      </c>
      <c r="BK129" s="79">
        <v>11</v>
      </c>
      <c r="BL129" s="15" t="s">
        <v>436</v>
      </c>
    </row>
    <row r="130" spans="1:64" ht="36" customHeight="1" x14ac:dyDescent="0.3">
      <c r="A130" s="15">
        <v>128</v>
      </c>
      <c r="B130" s="16" t="s">
        <v>938</v>
      </c>
      <c r="C130" s="15"/>
      <c r="D130" s="17">
        <v>2023</v>
      </c>
      <c r="E130" s="17" t="s">
        <v>75</v>
      </c>
      <c r="F130" s="21" t="s">
        <v>218</v>
      </c>
      <c r="G130" s="44" t="s">
        <v>687</v>
      </c>
      <c r="H130" s="48">
        <v>146800000000</v>
      </c>
      <c r="I130" s="53"/>
      <c r="J130" s="53"/>
      <c r="K130" s="18" t="s">
        <v>36</v>
      </c>
      <c r="L130" s="17" t="s">
        <v>95</v>
      </c>
      <c r="M130" s="17" t="s">
        <v>183</v>
      </c>
      <c r="N130" s="17" t="s">
        <v>90</v>
      </c>
      <c r="O130" s="17" t="s">
        <v>42</v>
      </c>
      <c r="P130" s="21" t="s">
        <v>14</v>
      </c>
      <c r="Q130" s="76">
        <v>83167.199999999997</v>
      </c>
      <c r="R130" s="70"/>
      <c r="S130" s="72">
        <v>137432.16699999999</v>
      </c>
      <c r="T130" s="58">
        <v>1</v>
      </c>
      <c r="U130" s="59">
        <v>6</v>
      </c>
      <c r="V130" s="15"/>
      <c r="W130" s="30" t="s">
        <v>18</v>
      </c>
      <c r="X130" s="17" t="s">
        <v>9</v>
      </c>
      <c r="Y130" s="18"/>
      <c r="Z130" s="18"/>
      <c r="AA130" s="18"/>
      <c r="AB130" s="17" t="s">
        <v>20</v>
      </c>
      <c r="AC130" s="18"/>
      <c r="AD130" s="17"/>
      <c r="AE130" s="17"/>
      <c r="AF130" s="17"/>
      <c r="AG130" s="59"/>
      <c r="AH130" s="18"/>
      <c r="AI130" s="85"/>
      <c r="AJ130" s="85"/>
      <c r="AK130" s="85"/>
      <c r="AL130" s="92"/>
      <c r="AM130" s="62"/>
      <c r="AN130" s="62"/>
      <c r="AO130" s="62"/>
      <c r="AP130" s="62"/>
      <c r="AQ130" s="62"/>
      <c r="AR130" s="92">
        <f t="shared" si="10"/>
        <v>0</v>
      </c>
      <c r="AS130" s="85"/>
      <c r="AT130" s="85"/>
      <c r="AU130" s="85"/>
      <c r="AV130" s="85"/>
      <c r="AW130" s="85"/>
      <c r="AX130" s="85"/>
      <c r="AY130" s="92"/>
      <c r="AZ130" s="85"/>
      <c r="BA130" s="85"/>
      <c r="BB130" s="92"/>
      <c r="BC130" s="92"/>
      <c r="BD130" s="107">
        <v>21</v>
      </c>
      <c r="BE130" s="107"/>
      <c r="BF130" s="79"/>
      <c r="BG130" s="79"/>
      <c r="BH130" s="79"/>
      <c r="BI130" s="79"/>
      <c r="BJ130" s="79"/>
      <c r="BK130" s="79"/>
      <c r="BL130" s="21"/>
    </row>
    <row r="131" spans="1:64" ht="36" customHeight="1" x14ac:dyDescent="0.3">
      <c r="A131" s="15">
        <v>129</v>
      </c>
      <c r="B131" s="16" t="s">
        <v>939</v>
      </c>
      <c r="C131" s="16" t="s">
        <v>940</v>
      </c>
      <c r="D131" s="17">
        <v>2023</v>
      </c>
      <c r="E131" s="17" t="s">
        <v>76</v>
      </c>
      <c r="F131" s="21" t="s">
        <v>36</v>
      </c>
      <c r="G131" s="44" t="s">
        <v>687</v>
      </c>
      <c r="H131" s="48">
        <v>68634000000</v>
      </c>
      <c r="I131" s="53"/>
      <c r="J131" s="53"/>
      <c r="K131" s="21" t="s">
        <v>36</v>
      </c>
      <c r="L131" s="17" t="s">
        <v>93</v>
      </c>
      <c r="M131" s="17" t="s">
        <v>106</v>
      </c>
      <c r="N131" s="17" t="s">
        <v>199</v>
      </c>
      <c r="O131" s="17" t="s">
        <v>42</v>
      </c>
      <c r="P131" s="21" t="s">
        <v>4</v>
      </c>
      <c r="Q131" s="76">
        <v>2405.6</v>
      </c>
      <c r="R131" s="70"/>
      <c r="S131" s="72">
        <v>16401.689999999999</v>
      </c>
      <c r="T131" s="58">
        <v>6</v>
      </c>
      <c r="U131" s="59">
        <v>13</v>
      </c>
      <c r="V131" s="15"/>
      <c r="W131" s="30" t="s">
        <v>18</v>
      </c>
      <c r="X131" s="17" t="s">
        <v>9</v>
      </c>
      <c r="Y131" s="18"/>
      <c r="Z131" s="18"/>
      <c r="AA131" s="18"/>
      <c r="AB131" s="17" t="s">
        <v>20</v>
      </c>
      <c r="AC131" s="18"/>
      <c r="AD131" s="17"/>
      <c r="AE131" s="17"/>
      <c r="AF131" s="17"/>
      <c r="AG131" s="59"/>
      <c r="AH131" s="18"/>
      <c r="AI131" s="85"/>
      <c r="AJ131" s="85"/>
      <c r="AK131" s="85"/>
      <c r="AL131" s="92"/>
      <c r="AM131" s="62"/>
      <c r="AN131" s="62"/>
      <c r="AO131" s="62"/>
      <c r="AP131" s="62"/>
      <c r="AQ131" s="62"/>
      <c r="AR131" s="92">
        <f t="shared" si="10"/>
        <v>0</v>
      </c>
      <c r="AS131" s="85"/>
      <c r="AT131" s="85"/>
      <c r="AU131" s="85"/>
      <c r="AV131" s="85"/>
      <c r="AW131" s="85"/>
      <c r="AX131" s="85"/>
      <c r="AY131" s="92"/>
      <c r="AZ131" s="85"/>
      <c r="BA131" s="85"/>
      <c r="BB131" s="92"/>
      <c r="BC131" s="92"/>
      <c r="BD131" s="107">
        <v>39</v>
      </c>
      <c r="BE131" s="107"/>
      <c r="BF131" s="79"/>
      <c r="BG131" s="79">
        <f>621/30</f>
        <v>20.7</v>
      </c>
      <c r="BH131" s="79"/>
      <c r="BI131" s="79">
        <f>399/30</f>
        <v>13.3</v>
      </c>
      <c r="BJ131" s="79">
        <f>350/30</f>
        <v>11.666666666666666</v>
      </c>
      <c r="BK131" s="79">
        <f>325/30</f>
        <v>10.833333333333334</v>
      </c>
      <c r="BL131" s="21"/>
    </row>
    <row r="132" spans="1:64" ht="36" customHeight="1" x14ac:dyDescent="0.3">
      <c r="A132" s="15">
        <v>130</v>
      </c>
      <c r="B132" s="16" t="s">
        <v>941</v>
      </c>
      <c r="C132" s="16" t="s">
        <v>942</v>
      </c>
      <c r="D132" s="15">
        <v>2023</v>
      </c>
      <c r="E132" s="17" t="s">
        <v>678</v>
      </c>
      <c r="F132" s="15" t="s">
        <v>513</v>
      </c>
      <c r="G132" s="19" t="s">
        <v>225</v>
      </c>
      <c r="H132" s="48">
        <v>21840000000</v>
      </c>
      <c r="I132" s="53">
        <v>145</v>
      </c>
      <c r="J132" s="48">
        <v>1807448275.8620689</v>
      </c>
      <c r="K132" s="18" t="s">
        <v>241</v>
      </c>
      <c r="L132" s="15" t="s">
        <v>176</v>
      </c>
      <c r="M132" s="15" t="s">
        <v>177</v>
      </c>
      <c r="N132" s="15" t="s">
        <v>90</v>
      </c>
      <c r="O132" s="15" t="s">
        <v>59</v>
      </c>
      <c r="P132" s="18" t="s">
        <v>14</v>
      </c>
      <c r="Q132" s="70">
        <v>215036.1</v>
      </c>
      <c r="R132" s="70">
        <v>806.08</v>
      </c>
      <c r="S132" s="81">
        <v>3181.2</v>
      </c>
      <c r="T132" s="48">
        <v>1</v>
      </c>
      <c r="U132" s="53">
        <v>6</v>
      </c>
      <c r="V132" s="15" t="s">
        <v>16</v>
      </c>
      <c r="W132" s="18" t="s">
        <v>18</v>
      </c>
      <c r="X132" s="18" t="s">
        <v>9</v>
      </c>
      <c r="Y132" s="18"/>
      <c r="Z132" s="18"/>
      <c r="AA132" s="18"/>
      <c r="AB132" s="18" t="s">
        <v>33</v>
      </c>
      <c r="AC132" s="18"/>
      <c r="AD132" s="18" t="s">
        <v>267</v>
      </c>
      <c r="AE132" s="17"/>
      <c r="AF132" s="17"/>
      <c r="AG132" s="59"/>
      <c r="AH132" s="18" t="s">
        <v>285</v>
      </c>
      <c r="AI132" s="85"/>
      <c r="AJ132" s="85"/>
      <c r="AK132" s="85"/>
      <c r="AL132" s="92"/>
      <c r="AM132" s="92"/>
      <c r="AN132" s="92"/>
      <c r="AO132" s="92"/>
      <c r="AP132" s="92"/>
      <c r="AQ132" s="92"/>
      <c r="AR132" s="92">
        <f t="shared" si="10"/>
        <v>0</v>
      </c>
      <c r="AS132" s="85"/>
      <c r="AT132" s="85"/>
      <c r="AU132" s="85"/>
      <c r="AV132" s="85"/>
      <c r="AW132" s="85"/>
      <c r="AX132" s="85"/>
      <c r="AY132" s="92"/>
      <c r="AZ132" s="85"/>
      <c r="BA132" s="85"/>
      <c r="BB132" s="92"/>
      <c r="BC132" s="92"/>
      <c r="BD132" s="101">
        <v>24</v>
      </c>
      <c r="BE132" s="102">
        <f>586/30</f>
        <v>19.533333333333335</v>
      </c>
      <c r="BF132" s="79"/>
      <c r="BG132" s="79">
        <v>1</v>
      </c>
      <c r="BH132" s="79"/>
      <c r="BI132" s="79">
        <v>7</v>
      </c>
      <c r="BJ132" s="79">
        <f>226/30</f>
        <v>7.5333333333333332</v>
      </c>
      <c r="BK132" s="79">
        <f>226/30</f>
        <v>7.5333333333333332</v>
      </c>
      <c r="BL132" s="15"/>
    </row>
    <row r="133" spans="1:64" ht="36" customHeight="1" x14ac:dyDescent="0.3">
      <c r="A133" s="15">
        <v>131</v>
      </c>
      <c r="B133" s="16" t="s">
        <v>943</v>
      </c>
      <c r="C133" s="15"/>
      <c r="D133" s="17">
        <v>2023</v>
      </c>
      <c r="E133" s="21" t="s">
        <v>679</v>
      </c>
      <c r="F133" s="21" t="s">
        <v>394</v>
      </c>
      <c r="G133" s="44" t="s">
        <v>687</v>
      </c>
      <c r="H133" s="48">
        <v>68300000000</v>
      </c>
      <c r="I133" s="53"/>
      <c r="J133" s="53"/>
      <c r="K133" s="21" t="s">
        <v>242</v>
      </c>
      <c r="L133" s="17" t="s">
        <v>93</v>
      </c>
      <c r="M133" s="17" t="s">
        <v>102</v>
      </c>
      <c r="N133" s="17" t="s">
        <v>199</v>
      </c>
      <c r="O133" s="15" t="s">
        <v>5</v>
      </c>
      <c r="P133" s="17" t="s">
        <v>31</v>
      </c>
      <c r="Q133" s="70"/>
      <c r="R133" s="70"/>
      <c r="S133" s="72">
        <v>39375</v>
      </c>
      <c r="T133" s="58">
        <v>4</v>
      </c>
      <c r="U133" s="59">
        <v>19</v>
      </c>
      <c r="V133" s="15"/>
      <c r="W133" s="15"/>
      <c r="X133" s="17" t="s">
        <v>64</v>
      </c>
      <c r="Y133" s="18"/>
      <c r="Z133" s="17" t="s">
        <v>496</v>
      </c>
      <c r="AA133" s="17" t="s">
        <v>496</v>
      </c>
      <c r="AB133" s="18"/>
      <c r="AC133" s="18"/>
      <c r="AD133" s="17"/>
      <c r="AE133" s="17"/>
      <c r="AF133" s="17"/>
      <c r="AG133" s="59"/>
      <c r="AH133" s="18"/>
      <c r="AI133" s="85"/>
      <c r="AJ133" s="85"/>
      <c r="AK133" s="85"/>
      <c r="AL133" s="92"/>
      <c r="AM133" s="62"/>
      <c r="AN133" s="62"/>
      <c r="AO133" s="62"/>
      <c r="AP133" s="62"/>
      <c r="AQ133" s="62"/>
      <c r="AR133" s="92">
        <f t="shared" si="10"/>
        <v>0</v>
      </c>
      <c r="AS133" s="85"/>
      <c r="AT133" s="85"/>
      <c r="AU133" s="85"/>
      <c r="AV133" s="85"/>
      <c r="AW133" s="85"/>
      <c r="AX133" s="85"/>
      <c r="AY133" s="92"/>
      <c r="AZ133" s="85"/>
      <c r="BA133" s="85"/>
      <c r="BB133" s="92"/>
      <c r="BC133" s="92"/>
      <c r="BD133" s="107">
        <v>28.4</v>
      </c>
      <c r="BE133" s="107"/>
      <c r="BF133" s="79"/>
      <c r="BG133" s="79"/>
      <c r="BH133" s="79"/>
      <c r="BI133" s="79"/>
      <c r="BJ133" s="79"/>
      <c r="BK133" s="79"/>
      <c r="BL133" s="21"/>
    </row>
    <row r="134" spans="1:64" ht="36" customHeight="1" x14ac:dyDescent="0.3">
      <c r="A134" s="15">
        <v>132</v>
      </c>
      <c r="B134" s="16" t="s">
        <v>944</v>
      </c>
      <c r="C134" s="15"/>
      <c r="D134" s="17">
        <v>2023</v>
      </c>
      <c r="E134" s="21" t="s">
        <v>612</v>
      </c>
      <c r="F134" s="21" t="s">
        <v>393</v>
      </c>
      <c r="G134" s="44" t="s">
        <v>687</v>
      </c>
      <c r="H134" s="48">
        <v>515000000000</v>
      </c>
      <c r="I134" s="53"/>
      <c r="J134" s="53"/>
      <c r="K134" s="21" t="s">
        <v>240</v>
      </c>
      <c r="L134" s="17" t="s">
        <v>95</v>
      </c>
      <c r="M134" s="17" t="s">
        <v>36</v>
      </c>
      <c r="N134" s="17" t="s">
        <v>199</v>
      </c>
      <c r="O134" s="17" t="s">
        <v>42</v>
      </c>
      <c r="P134" s="17" t="s">
        <v>57</v>
      </c>
      <c r="Q134" s="70"/>
      <c r="R134" s="70"/>
      <c r="S134" s="72">
        <v>247806.58</v>
      </c>
      <c r="T134" s="58">
        <v>7</v>
      </c>
      <c r="U134" s="59">
        <v>6</v>
      </c>
      <c r="V134" s="15"/>
      <c r="W134" s="15"/>
      <c r="X134" s="17" t="s">
        <v>64</v>
      </c>
      <c r="Y134" s="18"/>
      <c r="Z134" s="17" t="s">
        <v>1074</v>
      </c>
      <c r="AA134" s="17" t="s">
        <v>493</v>
      </c>
      <c r="AB134" s="18"/>
      <c r="AC134" s="18"/>
      <c r="AD134" s="17"/>
      <c r="AE134" s="17"/>
      <c r="AF134" s="17"/>
      <c r="AG134" s="59"/>
      <c r="AH134" s="18"/>
      <c r="AI134" s="85"/>
      <c r="AJ134" s="85"/>
      <c r="AK134" s="85"/>
      <c r="AL134" s="92"/>
      <c r="AM134" s="62"/>
      <c r="AN134" s="62"/>
      <c r="AO134" s="62"/>
      <c r="AP134" s="62"/>
      <c r="AQ134" s="62"/>
      <c r="AR134" s="92">
        <f t="shared" si="10"/>
        <v>0</v>
      </c>
      <c r="AS134" s="85"/>
      <c r="AT134" s="85"/>
      <c r="AU134" s="85"/>
      <c r="AV134" s="85"/>
      <c r="AW134" s="85"/>
      <c r="AX134" s="85"/>
      <c r="AY134" s="92"/>
      <c r="AZ134" s="85"/>
      <c r="BA134" s="85"/>
      <c r="BB134" s="92"/>
      <c r="BC134" s="92"/>
      <c r="BD134" s="107">
        <v>37</v>
      </c>
      <c r="BE134" s="107"/>
      <c r="BF134" s="79"/>
      <c r="BG134" s="79"/>
      <c r="BH134" s="79"/>
      <c r="BI134" s="79"/>
      <c r="BJ134" s="79"/>
      <c r="BK134" s="79"/>
      <c r="BL134" s="21"/>
    </row>
    <row r="135" spans="1:64" ht="36" customHeight="1" x14ac:dyDescent="0.3">
      <c r="A135" s="15">
        <v>133</v>
      </c>
      <c r="B135" s="16" t="s">
        <v>945</v>
      </c>
      <c r="C135" s="15"/>
      <c r="D135" s="17">
        <v>2024</v>
      </c>
      <c r="E135" s="21" t="s">
        <v>391</v>
      </c>
      <c r="F135" s="21" t="s">
        <v>392</v>
      </c>
      <c r="G135" s="44" t="s">
        <v>687</v>
      </c>
      <c r="H135" s="53"/>
      <c r="I135" s="53"/>
      <c r="J135" s="53"/>
      <c r="K135" s="21" t="s">
        <v>242</v>
      </c>
      <c r="L135" s="17" t="s">
        <v>136</v>
      </c>
      <c r="M135" s="17" t="s">
        <v>36</v>
      </c>
      <c r="N135" s="17" t="s">
        <v>483</v>
      </c>
      <c r="O135" s="17" t="s">
        <v>42</v>
      </c>
      <c r="P135" s="17" t="s">
        <v>497</v>
      </c>
      <c r="Q135" s="70"/>
      <c r="R135" s="70"/>
      <c r="S135" s="72">
        <v>26542</v>
      </c>
      <c r="T135" s="58">
        <v>1</v>
      </c>
      <c r="U135" s="59">
        <v>3</v>
      </c>
      <c r="V135" s="15"/>
      <c r="W135" s="15"/>
      <c r="X135" s="17" t="s">
        <v>9</v>
      </c>
      <c r="Y135" s="18"/>
      <c r="Z135" s="18"/>
      <c r="AA135" s="18"/>
      <c r="AB135" s="17" t="s">
        <v>427</v>
      </c>
      <c r="AC135" s="18"/>
      <c r="AD135" s="17"/>
      <c r="AE135" s="17"/>
      <c r="AF135" s="17"/>
      <c r="AG135" s="59"/>
      <c r="AH135" s="18"/>
      <c r="AI135" s="85"/>
      <c r="AJ135" s="85"/>
      <c r="AK135" s="85"/>
      <c r="AL135" s="92"/>
      <c r="AM135" s="62"/>
      <c r="AN135" s="62"/>
      <c r="AO135" s="62"/>
      <c r="AP135" s="62"/>
      <c r="AQ135" s="62"/>
      <c r="AR135" s="92">
        <f t="shared" si="10"/>
        <v>0</v>
      </c>
      <c r="AS135" s="85"/>
      <c r="AT135" s="85"/>
      <c r="AU135" s="85"/>
      <c r="AV135" s="85"/>
      <c r="AW135" s="85"/>
      <c r="AX135" s="85"/>
      <c r="AY135" s="92"/>
      <c r="AZ135" s="85"/>
      <c r="BA135" s="85"/>
      <c r="BB135" s="92"/>
      <c r="BC135" s="92"/>
      <c r="BD135" s="107">
        <v>8.9</v>
      </c>
      <c r="BE135" s="107"/>
      <c r="BF135" s="79"/>
      <c r="BG135" s="79"/>
      <c r="BH135" s="79"/>
      <c r="BI135" s="79"/>
      <c r="BJ135" s="79"/>
      <c r="BK135" s="79"/>
      <c r="BL135" s="21"/>
    </row>
    <row r="136" spans="1:64" ht="36" customHeight="1" x14ac:dyDescent="0.3">
      <c r="A136" s="15">
        <v>134</v>
      </c>
      <c r="B136" s="16" t="s">
        <v>946</v>
      </c>
      <c r="C136" s="15"/>
      <c r="D136" s="17">
        <v>2024</v>
      </c>
      <c r="E136" s="21" t="s">
        <v>611</v>
      </c>
      <c r="F136" s="21" t="s">
        <v>390</v>
      </c>
      <c r="G136" s="44" t="s">
        <v>687</v>
      </c>
      <c r="H136" s="48">
        <v>56780000000</v>
      </c>
      <c r="I136" s="53"/>
      <c r="J136" s="53"/>
      <c r="K136" s="21" t="s">
        <v>240</v>
      </c>
      <c r="L136" s="17" t="s">
        <v>609</v>
      </c>
      <c r="M136" s="17" t="s">
        <v>610</v>
      </c>
      <c r="N136" s="17" t="s">
        <v>199</v>
      </c>
      <c r="O136" s="17" t="s">
        <v>42</v>
      </c>
      <c r="P136" s="17" t="s">
        <v>25</v>
      </c>
      <c r="Q136" s="70"/>
      <c r="R136" s="76">
        <v>22994</v>
      </c>
      <c r="S136" s="72">
        <v>20984</v>
      </c>
      <c r="T136" s="58">
        <v>5</v>
      </c>
      <c r="U136" s="59">
        <v>7</v>
      </c>
      <c r="V136" s="17" t="s">
        <v>16</v>
      </c>
      <c r="W136" s="30" t="s">
        <v>16</v>
      </c>
      <c r="X136" s="17" t="s">
        <v>9</v>
      </c>
      <c r="Y136" s="18"/>
      <c r="Z136" s="17"/>
      <c r="AA136" s="18"/>
      <c r="AB136" s="21" t="s">
        <v>1068</v>
      </c>
      <c r="AC136" s="21" t="s">
        <v>1064</v>
      </c>
      <c r="AD136" s="17"/>
      <c r="AE136" s="17"/>
      <c r="AF136" s="17"/>
      <c r="AG136" s="59"/>
      <c r="AH136" s="18"/>
      <c r="AI136" s="85"/>
      <c r="AJ136" s="85"/>
      <c r="AK136" s="85"/>
      <c r="AL136" s="92"/>
      <c r="AM136" s="62"/>
      <c r="AN136" s="62"/>
      <c r="AO136" s="62"/>
      <c r="AP136" s="62"/>
      <c r="AQ136" s="62"/>
      <c r="AR136" s="92">
        <f t="shared" si="10"/>
        <v>0</v>
      </c>
      <c r="AS136" s="85"/>
      <c r="AT136" s="85"/>
      <c r="AU136" s="85"/>
      <c r="AV136" s="85"/>
      <c r="AW136" s="85"/>
      <c r="AX136" s="85"/>
      <c r="AY136" s="92"/>
      <c r="AZ136" s="85"/>
      <c r="BA136" s="85"/>
      <c r="BB136" s="92"/>
      <c r="BC136" s="92"/>
      <c r="BD136" s="107">
        <v>33.4</v>
      </c>
      <c r="BE136" s="107"/>
      <c r="BF136" s="79"/>
      <c r="BG136" s="79"/>
      <c r="BH136" s="79"/>
      <c r="BI136" s="79"/>
      <c r="BJ136" s="79"/>
      <c r="BK136" s="79"/>
      <c r="BL136" s="21"/>
    </row>
    <row r="137" spans="1:64" ht="36" customHeight="1" x14ac:dyDescent="0.3">
      <c r="A137" s="15">
        <v>135</v>
      </c>
      <c r="B137" s="16" t="s">
        <v>949</v>
      </c>
      <c r="C137" s="15"/>
      <c r="D137" s="17">
        <v>2024</v>
      </c>
      <c r="E137" s="16" t="s">
        <v>948</v>
      </c>
      <c r="F137" s="21" t="s">
        <v>680</v>
      </c>
      <c r="G137" s="44" t="s">
        <v>687</v>
      </c>
      <c r="H137" s="48">
        <v>164000000000</v>
      </c>
      <c r="I137" s="53"/>
      <c r="J137" s="53"/>
      <c r="K137" s="21" t="s">
        <v>240</v>
      </c>
      <c r="L137" s="17" t="s">
        <v>36</v>
      </c>
      <c r="M137" s="17" t="s">
        <v>36</v>
      </c>
      <c r="N137" s="17" t="s">
        <v>483</v>
      </c>
      <c r="O137" s="17" t="s">
        <v>42</v>
      </c>
      <c r="P137" s="17" t="s">
        <v>7</v>
      </c>
      <c r="Q137" s="70">
        <v>43377</v>
      </c>
      <c r="R137" s="70"/>
      <c r="S137" s="72">
        <v>43100</v>
      </c>
      <c r="T137" s="58">
        <v>1</v>
      </c>
      <c r="U137" s="59">
        <v>4</v>
      </c>
      <c r="V137" s="15"/>
      <c r="W137" s="15"/>
      <c r="X137" s="17" t="s">
        <v>9</v>
      </c>
      <c r="Y137" s="18"/>
      <c r="Z137" s="18"/>
      <c r="AA137" s="18"/>
      <c r="AB137" s="17" t="s">
        <v>1063</v>
      </c>
      <c r="AC137" s="18"/>
      <c r="AD137" s="17"/>
      <c r="AE137" s="17"/>
      <c r="AF137" s="17"/>
      <c r="AG137" s="59"/>
      <c r="AH137" s="18"/>
      <c r="AI137" s="85"/>
      <c r="AJ137" s="85"/>
      <c r="AK137" s="85"/>
      <c r="AL137" s="92"/>
      <c r="AM137" s="62"/>
      <c r="AN137" s="62"/>
      <c r="AO137" s="62"/>
      <c r="AP137" s="62"/>
      <c r="AQ137" s="62"/>
      <c r="AR137" s="92">
        <f t="shared" si="10"/>
        <v>0</v>
      </c>
      <c r="AS137" s="85"/>
      <c r="AT137" s="85"/>
      <c r="AU137" s="85"/>
      <c r="AV137" s="85"/>
      <c r="AW137" s="85"/>
      <c r="AX137" s="85"/>
      <c r="AY137" s="92"/>
      <c r="AZ137" s="85"/>
      <c r="BA137" s="85"/>
      <c r="BB137" s="92"/>
      <c r="BC137" s="92"/>
      <c r="BD137" s="107">
        <v>1</v>
      </c>
      <c r="BE137" s="107"/>
      <c r="BF137" s="79"/>
      <c r="BG137" s="79"/>
      <c r="BH137" s="79"/>
      <c r="BI137" s="79"/>
      <c r="BJ137" s="79"/>
      <c r="BK137" s="79"/>
      <c r="BL137" s="21"/>
    </row>
    <row r="138" spans="1:64" ht="36" customHeight="1" x14ac:dyDescent="0.3">
      <c r="A138" s="15">
        <v>136</v>
      </c>
      <c r="B138" s="16" t="s">
        <v>947</v>
      </c>
      <c r="C138" s="15"/>
      <c r="D138" s="17">
        <v>2024</v>
      </c>
      <c r="E138" s="17" t="s">
        <v>259</v>
      </c>
      <c r="F138" s="15" t="s">
        <v>257</v>
      </c>
      <c r="G138" s="19" t="s">
        <v>687</v>
      </c>
      <c r="H138" s="53"/>
      <c r="I138" s="53"/>
      <c r="J138" s="53"/>
      <c r="K138" s="15" t="s">
        <v>241</v>
      </c>
      <c r="L138" s="17" t="s">
        <v>136</v>
      </c>
      <c r="M138" s="17" t="s">
        <v>258</v>
      </c>
      <c r="N138" s="17" t="s">
        <v>199</v>
      </c>
      <c r="O138" s="21" t="s">
        <v>5</v>
      </c>
      <c r="P138" s="21" t="s">
        <v>31</v>
      </c>
      <c r="Q138" s="76">
        <v>19812.900000000001</v>
      </c>
      <c r="R138" s="76">
        <v>5836.99</v>
      </c>
      <c r="S138" s="72">
        <v>64206.89</v>
      </c>
      <c r="T138" s="58">
        <v>1</v>
      </c>
      <c r="U138" s="66">
        <v>9</v>
      </c>
      <c r="V138" s="21" t="s">
        <v>16</v>
      </c>
      <c r="W138" s="17" t="s">
        <v>16</v>
      </c>
      <c r="X138" s="17"/>
      <c r="Y138" s="21"/>
      <c r="Z138" s="18"/>
      <c r="AA138" s="18"/>
      <c r="AB138" s="21"/>
      <c r="AC138" s="18"/>
      <c r="AD138" s="21" t="s">
        <v>260</v>
      </c>
      <c r="AE138" s="21" t="s">
        <v>261</v>
      </c>
      <c r="AF138" s="21"/>
      <c r="AG138" s="66"/>
      <c r="AH138" s="21" t="s">
        <v>285</v>
      </c>
      <c r="AI138" s="66"/>
      <c r="AJ138" s="66"/>
      <c r="AK138" s="66"/>
      <c r="AL138" s="92"/>
      <c r="AM138" s="62" t="s">
        <v>36</v>
      </c>
      <c r="AN138" s="65" t="s">
        <v>36</v>
      </c>
      <c r="AO138" s="65" t="s">
        <v>36</v>
      </c>
      <c r="AP138" s="65" t="s">
        <v>36</v>
      </c>
      <c r="AQ138" s="65" t="s">
        <v>36</v>
      </c>
      <c r="AR138" s="92">
        <f t="shared" si="10"/>
        <v>0</v>
      </c>
      <c r="AS138" s="66"/>
      <c r="AT138" s="66"/>
      <c r="AU138" s="66"/>
      <c r="AV138" s="66"/>
      <c r="AW138" s="66"/>
      <c r="AX138" s="66"/>
      <c r="AY138" s="65"/>
      <c r="AZ138" s="66"/>
      <c r="BA138" s="66"/>
      <c r="BB138" s="65"/>
      <c r="BC138" s="65"/>
      <c r="BD138" s="106">
        <v>17</v>
      </c>
      <c r="BE138" s="102"/>
      <c r="BF138" s="79"/>
      <c r="BG138" s="79"/>
      <c r="BH138" s="79"/>
      <c r="BI138" s="107">
        <v>3</v>
      </c>
      <c r="BJ138" s="107">
        <v>8</v>
      </c>
      <c r="BK138" s="106">
        <v>12</v>
      </c>
      <c r="BL138" s="21"/>
    </row>
    <row r="139" spans="1:64" ht="36" customHeight="1" x14ac:dyDescent="0.3">
      <c r="A139" s="15">
        <v>137</v>
      </c>
      <c r="B139" s="16" t="s">
        <v>950</v>
      </c>
      <c r="C139" s="16" t="s">
        <v>951</v>
      </c>
      <c r="D139" s="15">
        <v>2025</v>
      </c>
      <c r="E139" s="17" t="s">
        <v>555</v>
      </c>
      <c r="F139" s="15" t="s">
        <v>556</v>
      </c>
      <c r="G139" s="19" t="s">
        <v>225</v>
      </c>
      <c r="H139" s="48">
        <v>111530000000</v>
      </c>
      <c r="I139" s="53"/>
      <c r="J139" s="48"/>
      <c r="K139" s="18" t="s">
        <v>243</v>
      </c>
      <c r="L139" s="15" t="s">
        <v>93</v>
      </c>
      <c r="M139" s="15" t="s">
        <v>106</v>
      </c>
      <c r="N139" s="15" t="s">
        <v>199</v>
      </c>
      <c r="O139" s="15" t="s">
        <v>42</v>
      </c>
      <c r="P139" s="18" t="s">
        <v>4</v>
      </c>
      <c r="Q139" s="70">
        <v>3630.1</v>
      </c>
      <c r="R139" s="70">
        <v>2177.81</v>
      </c>
      <c r="S139" s="81">
        <v>51655.17</v>
      </c>
      <c r="T139" s="48">
        <v>7</v>
      </c>
      <c r="U139" s="53">
        <v>17</v>
      </c>
      <c r="V139" s="15" t="s">
        <v>16</v>
      </c>
      <c r="W139" s="18" t="s">
        <v>16</v>
      </c>
      <c r="X139" s="18" t="s">
        <v>64</v>
      </c>
      <c r="Y139" s="18" t="s">
        <v>62</v>
      </c>
      <c r="Z139" s="18" t="s">
        <v>1076</v>
      </c>
      <c r="AA139" s="18" t="s">
        <v>1053</v>
      </c>
      <c r="AB139" s="18" t="s">
        <v>20</v>
      </c>
      <c r="AC139" s="18"/>
      <c r="AD139" s="18" t="s">
        <v>435</v>
      </c>
      <c r="AE139" s="18" t="s">
        <v>265</v>
      </c>
      <c r="AF139" s="18"/>
      <c r="AG139" s="85">
        <v>2</v>
      </c>
      <c r="AH139" s="18" t="s">
        <v>264</v>
      </c>
      <c r="AI139" s="85"/>
      <c r="AJ139" s="85">
        <v>3</v>
      </c>
      <c r="AK139" s="85">
        <v>3</v>
      </c>
      <c r="AL139" s="92">
        <f>SUM(AM139:AQ139)</f>
        <v>92106.67</v>
      </c>
      <c r="AM139" s="92">
        <v>23189.14</v>
      </c>
      <c r="AN139" s="92">
        <v>19348.900000000001</v>
      </c>
      <c r="AO139" s="92">
        <v>22155.23</v>
      </c>
      <c r="AP139" s="92">
        <v>19792</v>
      </c>
      <c r="AQ139" s="92">
        <v>7621.4</v>
      </c>
      <c r="AR139" s="92">
        <f t="shared" si="10"/>
        <v>92106.67</v>
      </c>
      <c r="AS139" s="85"/>
      <c r="AT139" s="85">
        <v>244</v>
      </c>
      <c r="AU139" s="85">
        <v>166</v>
      </c>
      <c r="AV139" s="85"/>
      <c r="AW139" s="85">
        <v>52</v>
      </c>
      <c r="AX139" s="85"/>
      <c r="AY139" s="92"/>
      <c r="AZ139" s="85"/>
      <c r="BA139" s="85"/>
      <c r="BB139" s="92"/>
      <c r="BC139" s="92"/>
      <c r="BD139" s="102">
        <v>36</v>
      </c>
      <c r="BE139" s="102">
        <v>36</v>
      </c>
      <c r="BF139" s="79"/>
      <c r="BG139" s="79">
        <f>499/30</f>
        <v>16.633333333333333</v>
      </c>
      <c r="BH139" s="79"/>
      <c r="BI139" s="79">
        <f>582/30</f>
        <v>19.399999999999999</v>
      </c>
      <c r="BJ139" s="79">
        <f>275/30</f>
        <v>9.1666666666666661</v>
      </c>
      <c r="BK139" s="79">
        <f>328/30</f>
        <v>10.933333333333334</v>
      </c>
      <c r="BL139" s="15"/>
    </row>
    <row r="140" spans="1:64" ht="36" customHeight="1" x14ac:dyDescent="0.3">
      <c r="A140" s="15">
        <v>138</v>
      </c>
      <c r="B140" s="16" t="s">
        <v>1039</v>
      </c>
      <c r="C140" s="15"/>
      <c r="D140" s="17">
        <v>2023</v>
      </c>
      <c r="E140" s="21" t="s">
        <v>632</v>
      </c>
      <c r="F140" s="21" t="s">
        <v>389</v>
      </c>
      <c r="G140" s="44" t="s">
        <v>687</v>
      </c>
      <c r="H140" s="48">
        <v>275600000000</v>
      </c>
      <c r="I140" s="53"/>
      <c r="J140" s="53"/>
      <c r="K140" s="21" t="s">
        <v>242</v>
      </c>
      <c r="L140" s="17" t="s">
        <v>103</v>
      </c>
      <c r="M140" s="17" t="s">
        <v>36</v>
      </c>
      <c r="N140" s="17" t="s">
        <v>483</v>
      </c>
      <c r="O140" s="17" t="s">
        <v>42</v>
      </c>
      <c r="P140" s="17" t="s">
        <v>7</v>
      </c>
      <c r="Q140" s="76"/>
      <c r="R140" s="78">
        <v>9889</v>
      </c>
      <c r="S140" s="84">
        <v>41064</v>
      </c>
      <c r="T140" s="58">
        <v>1</v>
      </c>
      <c r="U140" s="59">
        <v>4</v>
      </c>
      <c r="V140" s="15"/>
      <c r="W140" s="30" t="s">
        <v>24</v>
      </c>
      <c r="X140" s="17" t="s">
        <v>9</v>
      </c>
      <c r="Y140" s="18"/>
      <c r="Z140" s="18"/>
      <c r="AA140" s="18"/>
      <c r="AB140" s="21" t="s">
        <v>33</v>
      </c>
      <c r="AC140" s="18"/>
      <c r="AD140" s="17"/>
      <c r="AE140" s="17"/>
      <c r="AF140" s="17"/>
      <c r="AG140" s="59"/>
      <c r="AH140" s="17" t="s">
        <v>264</v>
      </c>
      <c r="AI140" s="59"/>
      <c r="AJ140" s="59"/>
      <c r="AK140" s="59"/>
      <c r="AL140" s="92"/>
      <c r="AM140" s="62"/>
      <c r="AN140" s="62"/>
      <c r="AO140" s="62"/>
      <c r="AP140" s="62"/>
      <c r="AQ140" s="62"/>
      <c r="AR140" s="92">
        <f t="shared" si="10"/>
        <v>0</v>
      </c>
      <c r="AS140" s="59"/>
      <c r="AT140" s="59"/>
      <c r="AU140" s="59"/>
      <c r="AV140" s="59"/>
      <c r="AW140" s="59"/>
      <c r="AX140" s="59"/>
      <c r="AY140" s="62"/>
      <c r="AZ140" s="59"/>
      <c r="BA140" s="59"/>
      <c r="BB140" s="62"/>
      <c r="BC140" s="62"/>
      <c r="BD140" s="107">
        <v>23.7</v>
      </c>
      <c r="BE140" s="107"/>
      <c r="BF140" s="79"/>
      <c r="BG140" s="79"/>
      <c r="BH140" s="79"/>
      <c r="BI140" s="79"/>
      <c r="BJ140" s="79"/>
      <c r="BK140" s="79"/>
      <c r="BL140" s="21"/>
    </row>
    <row r="141" spans="1:64" ht="36" customHeight="1" x14ac:dyDescent="0.3">
      <c r="A141" s="15">
        <v>139</v>
      </c>
      <c r="B141" s="16" t="s">
        <v>1040</v>
      </c>
      <c r="C141" s="15"/>
      <c r="D141" s="17">
        <v>2024</v>
      </c>
      <c r="E141" s="21" t="s">
        <v>387</v>
      </c>
      <c r="F141" s="21" t="s">
        <v>388</v>
      </c>
      <c r="G141" s="44" t="s">
        <v>687</v>
      </c>
      <c r="H141" s="53"/>
      <c r="I141" s="53"/>
      <c r="J141" s="53"/>
      <c r="K141" s="21" t="s">
        <v>242</v>
      </c>
      <c r="L141" s="17" t="s">
        <v>93</v>
      </c>
      <c r="M141" s="17" t="s">
        <v>182</v>
      </c>
      <c r="N141" s="17" t="s">
        <v>199</v>
      </c>
      <c r="O141" s="17" t="s">
        <v>42</v>
      </c>
      <c r="P141" s="17" t="s">
        <v>4</v>
      </c>
      <c r="Q141" s="76">
        <v>1689</v>
      </c>
      <c r="R141" s="76"/>
      <c r="S141" s="72">
        <v>22158</v>
      </c>
      <c r="T141" s="58">
        <v>7</v>
      </c>
      <c r="U141" s="59">
        <v>17</v>
      </c>
      <c r="V141" s="15"/>
      <c r="W141" s="15"/>
      <c r="X141" s="17" t="s">
        <v>64</v>
      </c>
      <c r="Y141" s="18"/>
      <c r="Z141" s="17" t="s">
        <v>41</v>
      </c>
      <c r="AA141" s="17" t="s">
        <v>41</v>
      </c>
      <c r="AB141" s="18"/>
      <c r="AC141" s="18"/>
      <c r="AD141" s="17"/>
      <c r="AE141" s="17"/>
      <c r="AF141" s="17"/>
      <c r="AG141" s="59"/>
      <c r="AH141" s="18"/>
      <c r="AI141" s="85"/>
      <c r="AJ141" s="85"/>
      <c r="AK141" s="85"/>
      <c r="AL141" s="92"/>
      <c r="AM141" s="62"/>
      <c r="AN141" s="62"/>
      <c r="AO141" s="62"/>
      <c r="AP141" s="62"/>
      <c r="AQ141" s="62"/>
      <c r="AR141" s="92">
        <f t="shared" si="10"/>
        <v>0</v>
      </c>
      <c r="AS141" s="85"/>
      <c r="AT141" s="85"/>
      <c r="AU141" s="85"/>
      <c r="AV141" s="85"/>
      <c r="AW141" s="85"/>
      <c r="AX141" s="85"/>
      <c r="AY141" s="92"/>
      <c r="AZ141" s="85"/>
      <c r="BA141" s="85"/>
      <c r="BB141" s="92"/>
      <c r="BC141" s="92"/>
      <c r="BD141" s="107">
        <v>33.5</v>
      </c>
      <c r="BE141" s="107"/>
      <c r="BF141" s="79"/>
      <c r="BG141" s="79"/>
      <c r="BH141" s="79"/>
      <c r="BI141" s="79"/>
      <c r="BJ141" s="79"/>
      <c r="BK141" s="79"/>
      <c r="BL141" s="21"/>
    </row>
    <row r="142" spans="1:64" ht="36" customHeight="1" x14ac:dyDescent="0.3">
      <c r="A142" s="15">
        <v>140</v>
      </c>
      <c r="B142" s="16" t="s">
        <v>952</v>
      </c>
      <c r="C142" s="15"/>
      <c r="D142" s="17">
        <v>2024</v>
      </c>
      <c r="E142" s="21" t="s">
        <v>608</v>
      </c>
      <c r="F142" s="21" t="s">
        <v>386</v>
      </c>
      <c r="G142" s="44" t="s">
        <v>687</v>
      </c>
      <c r="H142" s="48">
        <v>61570000000</v>
      </c>
      <c r="I142" s="53"/>
      <c r="J142" s="53"/>
      <c r="K142" s="21" t="s">
        <v>240</v>
      </c>
      <c r="L142" s="17" t="s">
        <v>36</v>
      </c>
      <c r="M142" s="17" t="s">
        <v>36</v>
      </c>
      <c r="N142" s="17" t="s">
        <v>484</v>
      </c>
      <c r="O142" s="17" t="s">
        <v>42</v>
      </c>
      <c r="P142" s="17" t="s">
        <v>14</v>
      </c>
      <c r="Q142" s="76"/>
      <c r="R142" s="76"/>
      <c r="S142" s="72">
        <v>13796</v>
      </c>
      <c r="T142" s="48">
        <v>0</v>
      </c>
      <c r="U142" s="59">
        <v>3</v>
      </c>
      <c r="V142" s="15"/>
      <c r="W142" s="15"/>
      <c r="X142" s="17" t="s">
        <v>9</v>
      </c>
      <c r="Y142" s="18"/>
      <c r="Z142" s="18"/>
      <c r="AA142" s="18"/>
      <c r="AB142" s="21" t="s">
        <v>33</v>
      </c>
      <c r="AC142" s="18"/>
      <c r="AD142" s="17"/>
      <c r="AE142" s="17"/>
      <c r="AF142" s="17"/>
      <c r="AG142" s="59"/>
      <c r="AH142" s="18"/>
      <c r="AI142" s="85"/>
      <c r="AJ142" s="85"/>
      <c r="AK142" s="85"/>
      <c r="AL142" s="92"/>
      <c r="AM142" s="62"/>
      <c r="AN142" s="62"/>
      <c r="AO142" s="62"/>
      <c r="AP142" s="62"/>
      <c r="AQ142" s="62"/>
      <c r="AR142" s="92">
        <f t="shared" si="10"/>
        <v>0</v>
      </c>
      <c r="AS142" s="85"/>
      <c r="AT142" s="85"/>
      <c r="AU142" s="85"/>
      <c r="AV142" s="85"/>
      <c r="AW142" s="85"/>
      <c r="AX142" s="85"/>
      <c r="AY142" s="92"/>
      <c r="AZ142" s="85"/>
      <c r="BA142" s="85"/>
      <c r="BB142" s="92"/>
      <c r="BC142" s="92"/>
      <c r="BD142" s="107">
        <v>15</v>
      </c>
      <c r="BE142" s="107"/>
      <c r="BF142" s="79"/>
      <c r="BG142" s="79"/>
      <c r="BH142" s="79"/>
      <c r="BI142" s="79"/>
      <c r="BJ142" s="79"/>
      <c r="BK142" s="79"/>
      <c r="BL142" s="21"/>
    </row>
    <row r="143" spans="1:64" ht="36" customHeight="1" x14ac:dyDescent="0.3">
      <c r="A143" s="15">
        <v>141</v>
      </c>
      <c r="B143" s="16" t="s">
        <v>953</v>
      </c>
      <c r="C143" s="15"/>
      <c r="D143" s="17">
        <v>2024</v>
      </c>
      <c r="E143" s="21" t="s">
        <v>607</v>
      </c>
      <c r="F143" s="21" t="s">
        <v>385</v>
      </c>
      <c r="G143" s="44" t="s">
        <v>687</v>
      </c>
      <c r="H143" s="53"/>
      <c r="I143" s="53"/>
      <c r="J143" s="53"/>
      <c r="K143" s="21" t="s">
        <v>240</v>
      </c>
      <c r="L143" s="17" t="s">
        <v>36</v>
      </c>
      <c r="M143" s="17" t="s">
        <v>36</v>
      </c>
      <c r="N143" s="17" t="s">
        <v>484</v>
      </c>
      <c r="O143" s="17" t="s">
        <v>42</v>
      </c>
      <c r="P143" s="17" t="s">
        <v>14</v>
      </c>
      <c r="Q143" s="76"/>
      <c r="R143" s="76"/>
      <c r="S143" s="72">
        <v>43520</v>
      </c>
      <c r="T143" s="48">
        <v>0</v>
      </c>
      <c r="U143" s="59">
        <v>6</v>
      </c>
      <c r="V143" s="15"/>
      <c r="W143" s="15"/>
      <c r="X143" s="17" t="s">
        <v>9</v>
      </c>
      <c r="Y143" s="18"/>
      <c r="Z143" s="18"/>
      <c r="AA143" s="18"/>
      <c r="AB143" s="21" t="s">
        <v>33</v>
      </c>
      <c r="AC143" s="18"/>
      <c r="AD143" s="17"/>
      <c r="AE143" s="17"/>
      <c r="AF143" s="17"/>
      <c r="AG143" s="59"/>
      <c r="AH143" s="18"/>
      <c r="AI143" s="85"/>
      <c r="AJ143" s="85"/>
      <c r="AK143" s="85"/>
      <c r="AL143" s="92"/>
      <c r="AM143" s="62"/>
      <c r="AN143" s="62"/>
      <c r="AO143" s="62"/>
      <c r="AP143" s="62"/>
      <c r="AQ143" s="62"/>
      <c r="AR143" s="92">
        <f t="shared" si="10"/>
        <v>0</v>
      </c>
      <c r="AS143" s="85"/>
      <c r="AT143" s="85"/>
      <c r="AU143" s="85"/>
      <c r="AV143" s="85"/>
      <c r="AW143" s="85"/>
      <c r="AX143" s="85"/>
      <c r="AY143" s="92"/>
      <c r="AZ143" s="85"/>
      <c r="BA143" s="85"/>
      <c r="BB143" s="92"/>
      <c r="BC143" s="92"/>
      <c r="BD143" s="107">
        <v>12.4</v>
      </c>
      <c r="BE143" s="107"/>
      <c r="BF143" s="79"/>
      <c r="BG143" s="79"/>
      <c r="BH143" s="79"/>
      <c r="BI143" s="79"/>
      <c r="BJ143" s="79"/>
      <c r="BK143" s="79"/>
      <c r="BL143" s="21"/>
    </row>
    <row r="144" spans="1:64" ht="36" customHeight="1" x14ac:dyDescent="0.3">
      <c r="A144" s="15">
        <v>142</v>
      </c>
      <c r="B144" s="16" t="s">
        <v>954</v>
      </c>
      <c r="C144" s="16" t="s">
        <v>955</v>
      </c>
      <c r="D144" s="15">
        <v>2023</v>
      </c>
      <c r="E144" s="17" t="s">
        <v>650</v>
      </c>
      <c r="F144" s="15" t="s">
        <v>651</v>
      </c>
      <c r="G144" s="19" t="s">
        <v>225</v>
      </c>
      <c r="H144" s="48">
        <v>5000000000</v>
      </c>
      <c r="I144" s="53">
        <v>138</v>
      </c>
      <c r="J144" s="48">
        <v>434782608.69565219</v>
      </c>
      <c r="K144" s="18" t="s">
        <v>241</v>
      </c>
      <c r="L144" s="15" t="s">
        <v>103</v>
      </c>
      <c r="M144" s="15" t="s">
        <v>434</v>
      </c>
      <c r="N144" s="15" t="s">
        <v>90</v>
      </c>
      <c r="O144" s="15" t="s">
        <v>42</v>
      </c>
      <c r="P144" s="17" t="s">
        <v>7</v>
      </c>
      <c r="Q144" s="70">
        <v>29941</v>
      </c>
      <c r="R144" s="70"/>
      <c r="S144" s="81">
        <v>49291.88</v>
      </c>
      <c r="T144" s="48">
        <v>1</v>
      </c>
      <c r="U144" s="53">
        <v>4</v>
      </c>
      <c r="V144" s="15" t="s">
        <v>24</v>
      </c>
      <c r="W144" s="18" t="s">
        <v>24</v>
      </c>
      <c r="X144" s="18" t="s">
        <v>9</v>
      </c>
      <c r="Y144" s="18" t="s">
        <v>61</v>
      </c>
      <c r="Z144" s="18"/>
      <c r="AA144" s="18"/>
      <c r="AB144" s="18" t="s">
        <v>1200</v>
      </c>
      <c r="AC144" s="18" t="s">
        <v>1196</v>
      </c>
      <c r="AD144" s="17"/>
      <c r="AE144" s="17"/>
      <c r="AF144" s="17"/>
      <c r="AG144" s="59"/>
      <c r="AH144" s="18"/>
      <c r="AI144" s="85"/>
      <c r="AJ144" s="85"/>
      <c r="AK144" s="85"/>
      <c r="AL144" s="92"/>
      <c r="AM144" s="92"/>
      <c r="AN144" s="92"/>
      <c r="AO144" s="92"/>
      <c r="AP144" s="92"/>
      <c r="AQ144" s="92"/>
      <c r="AR144" s="92">
        <f t="shared" si="10"/>
        <v>0</v>
      </c>
      <c r="AS144" s="85"/>
      <c r="AT144" s="85"/>
      <c r="AU144" s="85"/>
      <c r="AV144" s="85"/>
      <c r="AW144" s="85"/>
      <c r="AX144" s="85"/>
      <c r="AY144" s="92"/>
      <c r="AZ144" s="85"/>
      <c r="BA144" s="85"/>
      <c r="BB144" s="92"/>
      <c r="BC144" s="92"/>
      <c r="BD144" s="101">
        <v>9.6</v>
      </c>
      <c r="BE144" s="102"/>
      <c r="BF144" s="79"/>
      <c r="BG144" s="79"/>
      <c r="BH144" s="79"/>
      <c r="BI144" s="79"/>
      <c r="BJ144" s="79"/>
      <c r="BK144" s="79"/>
      <c r="BL144" s="15"/>
    </row>
    <row r="145" spans="1:64" ht="36" customHeight="1" x14ac:dyDescent="0.3">
      <c r="A145" s="15">
        <v>143</v>
      </c>
      <c r="B145" s="16" t="s">
        <v>1041</v>
      </c>
      <c r="C145" s="15"/>
      <c r="D145" s="17">
        <v>2023</v>
      </c>
      <c r="E145" s="21" t="s">
        <v>77</v>
      </c>
      <c r="F145" s="21" t="s">
        <v>384</v>
      </c>
      <c r="G145" s="44" t="s">
        <v>687</v>
      </c>
      <c r="H145" s="48">
        <v>67800000000</v>
      </c>
      <c r="I145" s="53"/>
      <c r="J145" s="53"/>
      <c r="K145" s="21" t="s">
        <v>236</v>
      </c>
      <c r="L145" s="17" t="s">
        <v>184</v>
      </c>
      <c r="M145" s="17" t="s">
        <v>185</v>
      </c>
      <c r="N145" s="17" t="s">
        <v>90</v>
      </c>
      <c r="O145" s="17" t="s">
        <v>42</v>
      </c>
      <c r="P145" s="17" t="s">
        <v>14</v>
      </c>
      <c r="Q145" s="76">
        <v>11495</v>
      </c>
      <c r="R145" s="70"/>
      <c r="S145" s="72">
        <v>43596.69</v>
      </c>
      <c r="T145" s="48">
        <v>0</v>
      </c>
      <c r="U145" s="59">
        <v>6</v>
      </c>
      <c r="V145" s="15"/>
      <c r="W145" s="30" t="s">
        <v>1050</v>
      </c>
      <c r="X145" s="17"/>
      <c r="Y145" s="18" t="s">
        <v>61</v>
      </c>
      <c r="Z145" s="18"/>
      <c r="AA145" s="18"/>
      <c r="AB145" s="17"/>
      <c r="AC145" s="18"/>
      <c r="AD145" s="17"/>
      <c r="AE145" s="17"/>
      <c r="AF145" s="17"/>
      <c r="AG145" s="59"/>
      <c r="AH145" s="18"/>
      <c r="AI145" s="85"/>
      <c r="AJ145" s="85"/>
      <c r="AK145" s="85"/>
      <c r="AL145" s="92"/>
      <c r="AM145" s="62"/>
      <c r="AN145" s="62"/>
      <c r="AO145" s="62"/>
      <c r="AP145" s="62"/>
      <c r="AQ145" s="62"/>
      <c r="AR145" s="92">
        <f t="shared" si="10"/>
        <v>0</v>
      </c>
      <c r="AS145" s="85"/>
      <c r="AT145" s="85"/>
      <c r="AU145" s="85"/>
      <c r="AV145" s="85"/>
      <c r="AW145" s="85"/>
      <c r="AX145" s="85"/>
      <c r="AY145" s="92"/>
      <c r="AZ145" s="85"/>
      <c r="BA145" s="85"/>
      <c r="BB145" s="92"/>
      <c r="BC145" s="92"/>
      <c r="BD145" s="107">
        <v>12.5</v>
      </c>
      <c r="BE145" s="107"/>
      <c r="BF145" s="79"/>
      <c r="BG145" s="79"/>
      <c r="BH145" s="79"/>
      <c r="BI145" s="79"/>
      <c r="BJ145" s="79"/>
      <c r="BK145" s="79"/>
      <c r="BL145" s="21"/>
    </row>
    <row r="146" spans="1:64" ht="36" customHeight="1" x14ac:dyDescent="0.3">
      <c r="A146" s="15">
        <v>144</v>
      </c>
      <c r="B146" s="16" t="s">
        <v>957</v>
      </c>
      <c r="C146" s="16" t="s">
        <v>958</v>
      </c>
      <c r="D146" s="15">
        <v>2024</v>
      </c>
      <c r="E146" s="17" t="s">
        <v>421</v>
      </c>
      <c r="F146" s="15" t="s">
        <v>433</v>
      </c>
      <c r="G146" s="19" t="s">
        <v>225</v>
      </c>
      <c r="H146" s="48">
        <v>60105000000</v>
      </c>
      <c r="I146" s="53"/>
      <c r="J146" s="48"/>
      <c r="K146" s="18" t="s">
        <v>243</v>
      </c>
      <c r="L146" s="15" t="s">
        <v>93</v>
      </c>
      <c r="M146" s="15" t="s">
        <v>94</v>
      </c>
      <c r="N146" s="15" t="s">
        <v>199</v>
      </c>
      <c r="O146" s="15" t="s">
        <v>42</v>
      </c>
      <c r="P146" s="18" t="s">
        <v>4</v>
      </c>
      <c r="Q146" s="70">
        <v>2405</v>
      </c>
      <c r="R146" s="70">
        <v>1435.35</v>
      </c>
      <c r="S146" s="81">
        <v>21121</v>
      </c>
      <c r="T146" s="48">
        <v>6</v>
      </c>
      <c r="U146" s="53">
        <v>9</v>
      </c>
      <c r="V146" s="15" t="s">
        <v>18</v>
      </c>
      <c r="W146" s="18" t="s">
        <v>18</v>
      </c>
      <c r="X146" s="18" t="s">
        <v>64</v>
      </c>
      <c r="Y146" s="18" t="s">
        <v>62</v>
      </c>
      <c r="Z146" s="21" t="s">
        <v>1074</v>
      </c>
      <c r="AA146" s="18" t="s">
        <v>1053</v>
      </c>
      <c r="AB146" s="18" t="s">
        <v>20</v>
      </c>
      <c r="AC146" s="18"/>
      <c r="AD146" s="18" t="s">
        <v>1213</v>
      </c>
      <c r="AE146" s="18" t="s">
        <v>265</v>
      </c>
      <c r="AF146" s="18"/>
      <c r="AG146" s="85"/>
      <c r="AH146" s="18" t="s">
        <v>264</v>
      </c>
      <c r="AI146" s="85"/>
      <c r="AJ146" s="85">
        <v>2</v>
      </c>
      <c r="AK146" s="85">
        <v>3</v>
      </c>
      <c r="AL146" s="92">
        <f>SUM(AM146:AQ146)</f>
        <v>68407</v>
      </c>
      <c r="AM146" s="92">
        <v>39081</v>
      </c>
      <c r="AN146" s="92"/>
      <c r="AO146" s="92">
        <v>2221</v>
      </c>
      <c r="AP146" s="92">
        <v>27105</v>
      </c>
      <c r="AQ146" s="92"/>
      <c r="AR146" s="92">
        <f t="shared" si="10"/>
        <v>68407</v>
      </c>
      <c r="AS146" s="85"/>
      <c r="AT146" s="85">
        <v>159</v>
      </c>
      <c r="AU146" s="85">
        <v>160</v>
      </c>
      <c r="AV146" s="85"/>
      <c r="AW146" s="85">
        <v>22</v>
      </c>
      <c r="AX146" s="85"/>
      <c r="AY146" s="92"/>
      <c r="AZ146" s="85"/>
      <c r="BA146" s="85"/>
      <c r="BB146" s="92"/>
      <c r="BC146" s="92">
        <f>364+310+712+644+207+105</f>
        <v>2342</v>
      </c>
      <c r="BD146" s="102">
        <v>37</v>
      </c>
      <c r="BE146" s="102"/>
      <c r="BF146" s="79"/>
      <c r="BG146" s="79">
        <v>17</v>
      </c>
      <c r="BH146" s="79"/>
      <c r="BI146" s="79">
        <v>15.5</v>
      </c>
      <c r="BJ146" s="79">
        <v>7</v>
      </c>
      <c r="BK146" s="79">
        <v>8</v>
      </c>
      <c r="BL146" s="15"/>
    </row>
    <row r="147" spans="1:64" ht="36" customHeight="1" x14ac:dyDescent="0.3">
      <c r="A147" s="15">
        <v>145</v>
      </c>
      <c r="B147" s="16" t="s">
        <v>959</v>
      </c>
      <c r="C147" s="16" t="s">
        <v>960</v>
      </c>
      <c r="D147" s="15">
        <v>2024</v>
      </c>
      <c r="E147" s="17" t="s">
        <v>499</v>
      </c>
      <c r="F147" s="15" t="s">
        <v>557</v>
      </c>
      <c r="G147" s="19" t="s">
        <v>225</v>
      </c>
      <c r="H147" s="48">
        <v>66223000000</v>
      </c>
      <c r="I147" s="53"/>
      <c r="J147" s="48"/>
      <c r="K147" s="18" t="s">
        <v>243</v>
      </c>
      <c r="L147" s="15" t="s">
        <v>93</v>
      </c>
      <c r="M147" s="15" t="s">
        <v>131</v>
      </c>
      <c r="N147" s="15" t="s">
        <v>199</v>
      </c>
      <c r="O147" s="15" t="s">
        <v>5</v>
      </c>
      <c r="P147" s="18" t="s">
        <v>4</v>
      </c>
      <c r="Q147" s="70">
        <v>5094</v>
      </c>
      <c r="R147" s="70">
        <v>2981.25</v>
      </c>
      <c r="S147" s="81">
        <v>39737.730000000003</v>
      </c>
      <c r="T147" s="48">
        <v>3</v>
      </c>
      <c r="U147" s="53">
        <v>13</v>
      </c>
      <c r="V147" s="15" t="s">
        <v>18</v>
      </c>
      <c r="W147" s="15" t="s">
        <v>18</v>
      </c>
      <c r="X147" s="18"/>
      <c r="Y147" s="18"/>
      <c r="Z147" s="18"/>
      <c r="AA147" s="18"/>
      <c r="AB147" s="18"/>
      <c r="AC147" s="18"/>
      <c r="AD147" s="18" t="s">
        <v>664</v>
      </c>
      <c r="AE147" s="18" t="s">
        <v>410</v>
      </c>
      <c r="AF147" s="18"/>
      <c r="AG147" s="85"/>
      <c r="AH147" s="18" t="s">
        <v>285</v>
      </c>
      <c r="AI147" s="85"/>
      <c r="AJ147" s="85"/>
      <c r="AK147" s="85"/>
      <c r="AL147" s="92"/>
      <c r="AM147" s="92"/>
      <c r="AN147" s="92"/>
      <c r="AO147" s="92"/>
      <c r="AP147" s="92"/>
      <c r="AQ147" s="92"/>
      <c r="AR147" s="92">
        <f t="shared" si="10"/>
        <v>0</v>
      </c>
      <c r="AS147" s="85"/>
      <c r="AT147" s="85"/>
      <c r="AU147" s="85"/>
      <c r="AV147" s="85"/>
      <c r="AW147" s="85"/>
      <c r="AX147" s="85"/>
      <c r="AY147" s="92"/>
      <c r="AZ147" s="85"/>
      <c r="BA147" s="85"/>
      <c r="BB147" s="92"/>
      <c r="BC147" s="92"/>
      <c r="BD147" s="102">
        <v>17</v>
      </c>
      <c r="BE147" s="102"/>
      <c r="BF147" s="79"/>
      <c r="BG147" s="79"/>
      <c r="BH147" s="79"/>
      <c r="BI147" s="79">
        <v>8</v>
      </c>
      <c r="BJ147" s="79">
        <v>8</v>
      </c>
      <c r="BK147" s="79">
        <v>8</v>
      </c>
      <c r="BL147" s="15"/>
    </row>
    <row r="148" spans="1:64" s="43" customFormat="1" ht="36" customHeight="1" x14ac:dyDescent="0.3">
      <c r="A148" s="39">
        <v>146</v>
      </c>
      <c r="B148" s="40" t="s">
        <v>961</v>
      </c>
      <c r="C148" s="39"/>
      <c r="D148" s="41">
        <v>2024</v>
      </c>
      <c r="E148" s="45" t="s">
        <v>681</v>
      </c>
      <c r="F148" s="45" t="s">
        <v>682</v>
      </c>
      <c r="G148" s="45" t="s">
        <v>687</v>
      </c>
      <c r="H148" s="54"/>
      <c r="I148" s="54"/>
      <c r="J148" s="54"/>
      <c r="K148" s="45" t="s">
        <v>236</v>
      </c>
      <c r="L148" s="41" t="s">
        <v>187</v>
      </c>
      <c r="M148" s="41" t="s">
        <v>188</v>
      </c>
      <c r="N148" s="41" t="s">
        <v>90</v>
      </c>
      <c r="O148" s="41" t="s">
        <v>42</v>
      </c>
      <c r="P148" s="41" t="s">
        <v>14</v>
      </c>
      <c r="Q148" s="77">
        <v>692292</v>
      </c>
      <c r="R148" s="75"/>
      <c r="S148" s="77">
        <v>628106</v>
      </c>
      <c r="T148" s="63"/>
      <c r="U148" s="64"/>
      <c r="V148" s="39"/>
      <c r="W148" s="39"/>
      <c r="X148" s="41"/>
      <c r="Y148" s="42"/>
      <c r="Z148" s="42"/>
      <c r="AA148" s="42"/>
      <c r="AB148" s="42"/>
      <c r="AC148" s="42"/>
      <c r="AD148" s="41"/>
      <c r="AE148" s="41"/>
      <c r="AF148" s="41"/>
      <c r="AG148" s="64"/>
      <c r="AH148" s="42"/>
      <c r="AI148" s="90"/>
      <c r="AJ148" s="90"/>
      <c r="AK148" s="90"/>
      <c r="AL148" s="100"/>
      <c r="AM148" s="63"/>
      <c r="AN148" s="63"/>
      <c r="AO148" s="63"/>
      <c r="AP148" s="63"/>
      <c r="AQ148" s="63"/>
      <c r="AR148" s="92">
        <f t="shared" si="10"/>
        <v>0</v>
      </c>
      <c r="AS148" s="90"/>
      <c r="AT148" s="90"/>
      <c r="AU148" s="90"/>
      <c r="AV148" s="85"/>
      <c r="AW148" s="90"/>
      <c r="AX148" s="90"/>
      <c r="AY148" s="100"/>
      <c r="AZ148" s="90"/>
      <c r="BA148" s="90"/>
      <c r="BB148" s="100"/>
      <c r="BC148" s="100"/>
      <c r="BD148" s="113">
        <v>19</v>
      </c>
      <c r="BE148" s="113"/>
      <c r="BF148" s="69"/>
      <c r="BG148" s="69"/>
      <c r="BH148" s="69"/>
      <c r="BI148" s="69"/>
      <c r="BJ148" s="69"/>
      <c r="BK148" s="69"/>
      <c r="BL148" s="45"/>
    </row>
    <row r="149" spans="1:64" ht="36" customHeight="1" x14ac:dyDescent="0.3">
      <c r="A149" s="15">
        <v>147</v>
      </c>
      <c r="B149" s="16" t="s">
        <v>956</v>
      </c>
      <c r="C149" s="15"/>
      <c r="D149" s="17">
        <v>2023</v>
      </c>
      <c r="E149" s="21" t="s">
        <v>606</v>
      </c>
      <c r="F149" s="21" t="s">
        <v>494</v>
      </c>
      <c r="G149" s="44" t="s">
        <v>687</v>
      </c>
      <c r="H149" s="48">
        <v>80200000000</v>
      </c>
      <c r="I149" s="53"/>
      <c r="J149" s="53"/>
      <c r="K149" s="21" t="s">
        <v>243</v>
      </c>
      <c r="L149" s="17" t="s">
        <v>93</v>
      </c>
      <c r="M149" s="17" t="s">
        <v>101</v>
      </c>
      <c r="N149" s="17" t="s">
        <v>199</v>
      </c>
      <c r="O149" s="17" t="s">
        <v>42</v>
      </c>
      <c r="P149" s="17" t="s">
        <v>25</v>
      </c>
      <c r="Q149" s="76"/>
      <c r="R149" s="76">
        <v>1907</v>
      </c>
      <c r="S149" s="72">
        <v>20785.740000000002</v>
      </c>
      <c r="T149" s="58">
        <v>5</v>
      </c>
      <c r="U149" s="59">
        <v>8</v>
      </c>
      <c r="V149" s="17" t="s">
        <v>16</v>
      </c>
      <c r="W149" s="30" t="s">
        <v>16</v>
      </c>
      <c r="X149" s="17" t="s">
        <v>64</v>
      </c>
      <c r="Y149" s="18"/>
      <c r="Z149" s="21" t="s">
        <v>1074</v>
      </c>
      <c r="AA149" s="17" t="s">
        <v>41</v>
      </c>
      <c r="AB149" s="21" t="s">
        <v>1200</v>
      </c>
      <c r="AC149" s="21"/>
      <c r="AD149" s="17"/>
      <c r="AE149" s="17"/>
      <c r="AF149" s="17"/>
      <c r="AG149" s="59"/>
      <c r="AH149" s="18"/>
      <c r="AI149" s="85"/>
      <c r="AJ149" s="85"/>
      <c r="AK149" s="85"/>
      <c r="AL149" s="92"/>
      <c r="AM149" s="62"/>
      <c r="AN149" s="62"/>
      <c r="AO149" s="62"/>
      <c r="AP149" s="62"/>
      <c r="AQ149" s="62"/>
      <c r="AR149" s="92">
        <f t="shared" si="10"/>
        <v>0</v>
      </c>
      <c r="AS149" s="85"/>
      <c r="AT149" s="85"/>
      <c r="AU149" s="85"/>
      <c r="AV149" s="85"/>
      <c r="AW149" s="85"/>
      <c r="AX149" s="85"/>
      <c r="AY149" s="92"/>
      <c r="AZ149" s="85"/>
      <c r="BA149" s="85"/>
      <c r="BB149" s="92"/>
      <c r="BC149" s="92"/>
      <c r="BD149" s="107">
        <v>38.5</v>
      </c>
      <c r="BE149" s="107"/>
      <c r="BF149" s="79"/>
      <c r="BG149" s="79"/>
      <c r="BH149" s="79"/>
      <c r="BI149" s="79"/>
      <c r="BJ149" s="79"/>
      <c r="BK149" s="79"/>
      <c r="BL149" s="21"/>
    </row>
    <row r="150" spans="1:64" ht="36" customHeight="1" x14ac:dyDescent="0.3">
      <c r="A150" s="15">
        <v>148</v>
      </c>
      <c r="B150" s="16" t="s">
        <v>962</v>
      </c>
      <c r="C150" s="15"/>
      <c r="D150" s="17">
        <v>2024</v>
      </c>
      <c r="E150" s="21" t="s">
        <v>605</v>
      </c>
      <c r="F150" s="21" t="s">
        <v>252</v>
      </c>
      <c r="G150" s="44" t="s">
        <v>687</v>
      </c>
      <c r="H150" s="48">
        <v>89700000000</v>
      </c>
      <c r="I150" s="53"/>
      <c r="J150" s="53"/>
      <c r="K150" s="21" t="s">
        <v>240</v>
      </c>
      <c r="L150" s="17" t="s">
        <v>129</v>
      </c>
      <c r="M150" s="17" t="s">
        <v>189</v>
      </c>
      <c r="N150" s="17" t="s">
        <v>199</v>
      </c>
      <c r="O150" s="17" t="s">
        <v>42</v>
      </c>
      <c r="P150" s="17" t="s">
        <v>57</v>
      </c>
      <c r="Q150" s="76"/>
      <c r="R150" s="76">
        <v>22311</v>
      </c>
      <c r="S150" s="72">
        <v>49805.29</v>
      </c>
      <c r="T150" s="58">
        <v>1</v>
      </c>
      <c r="U150" s="59">
        <v>4</v>
      </c>
      <c r="V150" s="17" t="s">
        <v>16</v>
      </c>
      <c r="W150" s="30" t="s">
        <v>16</v>
      </c>
      <c r="X150" s="17" t="s">
        <v>9</v>
      </c>
      <c r="Y150" s="18"/>
      <c r="Z150" s="17"/>
      <c r="AA150" s="18"/>
      <c r="AB150" s="21" t="s">
        <v>33</v>
      </c>
      <c r="AC150" s="21" t="s">
        <v>74</v>
      </c>
      <c r="AD150" s="17"/>
      <c r="AE150" s="17"/>
      <c r="AF150" s="17"/>
      <c r="AG150" s="59"/>
      <c r="AH150" s="18"/>
      <c r="AI150" s="85"/>
      <c r="AJ150" s="85"/>
      <c r="AK150" s="85"/>
      <c r="AL150" s="92"/>
      <c r="AM150" s="62"/>
      <c r="AN150" s="62"/>
      <c r="AO150" s="62"/>
      <c r="AP150" s="62"/>
      <c r="AQ150" s="62"/>
      <c r="AR150" s="92">
        <f t="shared" si="10"/>
        <v>0</v>
      </c>
      <c r="AS150" s="85"/>
      <c r="AT150" s="85"/>
      <c r="AU150" s="85"/>
      <c r="AV150" s="85"/>
      <c r="AW150" s="85"/>
      <c r="AX150" s="85"/>
      <c r="AY150" s="92"/>
      <c r="AZ150" s="85"/>
      <c r="BA150" s="85"/>
      <c r="BB150" s="92"/>
      <c r="BC150" s="92"/>
      <c r="BD150" s="107">
        <v>18</v>
      </c>
      <c r="BE150" s="107"/>
      <c r="BF150" s="79"/>
      <c r="BG150" s="79"/>
      <c r="BH150" s="79"/>
      <c r="BI150" s="79"/>
      <c r="BJ150" s="79"/>
      <c r="BK150" s="79"/>
      <c r="BL150" s="21"/>
    </row>
    <row r="151" spans="1:64" ht="36" customHeight="1" x14ac:dyDescent="0.3">
      <c r="A151" s="15">
        <v>149</v>
      </c>
      <c r="B151" s="16" t="s">
        <v>963</v>
      </c>
      <c r="C151" s="16" t="s">
        <v>964</v>
      </c>
      <c r="D151" s="15">
        <v>2025</v>
      </c>
      <c r="E151" s="21" t="s">
        <v>250</v>
      </c>
      <c r="F151" s="15" t="s">
        <v>253</v>
      </c>
      <c r="G151" s="44" t="s">
        <v>35</v>
      </c>
      <c r="H151" s="48">
        <v>88740000000</v>
      </c>
      <c r="I151" s="53">
        <v>288</v>
      </c>
      <c r="J151" s="53"/>
      <c r="K151" s="15" t="s">
        <v>242</v>
      </c>
      <c r="L151" s="15" t="s">
        <v>150</v>
      </c>
      <c r="M151" s="15" t="s">
        <v>431</v>
      </c>
      <c r="N151" s="17" t="s">
        <v>90</v>
      </c>
      <c r="O151" s="15" t="s">
        <v>42</v>
      </c>
      <c r="P151" s="21" t="s">
        <v>4</v>
      </c>
      <c r="Q151" s="70">
        <v>49938</v>
      </c>
      <c r="R151" s="70">
        <v>36369.89</v>
      </c>
      <c r="S151" s="81">
        <v>57395.74</v>
      </c>
      <c r="T151" s="48">
        <v>2</v>
      </c>
      <c r="U151" s="59">
        <v>4</v>
      </c>
      <c r="V151" s="30" t="s">
        <v>18</v>
      </c>
      <c r="W151" s="30" t="s">
        <v>18</v>
      </c>
      <c r="X151" s="17" t="s">
        <v>9</v>
      </c>
      <c r="Y151" s="17" t="s">
        <v>62</v>
      </c>
      <c r="Z151" s="17"/>
      <c r="AA151" s="18"/>
      <c r="AB151" s="21" t="s">
        <v>33</v>
      </c>
      <c r="AC151" s="21" t="s">
        <v>1203</v>
      </c>
      <c r="AD151" s="18" t="s">
        <v>1082</v>
      </c>
      <c r="AE151" s="17" t="s">
        <v>1098</v>
      </c>
      <c r="AF151" s="17"/>
      <c r="AG151" s="59"/>
      <c r="AH151" s="17" t="s">
        <v>285</v>
      </c>
      <c r="AI151" s="59"/>
      <c r="AJ151" s="59"/>
      <c r="AK151" s="59"/>
      <c r="AL151" s="92"/>
      <c r="AM151" s="62"/>
      <c r="AN151" s="62"/>
      <c r="AO151" s="65"/>
      <c r="AP151" s="65"/>
      <c r="AQ151" s="65"/>
      <c r="AR151" s="92">
        <f t="shared" si="10"/>
        <v>0</v>
      </c>
      <c r="AS151" s="59"/>
      <c r="AT151" s="59"/>
      <c r="AU151" s="59"/>
      <c r="AV151" s="59"/>
      <c r="AW151" s="59"/>
      <c r="AX151" s="59"/>
      <c r="AY151" s="62"/>
      <c r="AZ151" s="59"/>
      <c r="BA151" s="59"/>
      <c r="BB151" s="62"/>
      <c r="BC151" s="62"/>
      <c r="BD151" s="101">
        <v>18</v>
      </c>
      <c r="BE151" s="102"/>
      <c r="BF151" s="79"/>
      <c r="BG151" s="101">
        <f>244/30</f>
        <v>8.1333333333333329</v>
      </c>
      <c r="BH151" s="79"/>
      <c r="BI151" s="101">
        <f>267/30</f>
        <v>8.9</v>
      </c>
      <c r="BJ151" s="101">
        <f>130/30</f>
        <v>4.333333333333333</v>
      </c>
      <c r="BK151" s="101">
        <f>162/30</f>
        <v>5.4</v>
      </c>
      <c r="BL151" s="15" t="s">
        <v>432</v>
      </c>
    </row>
    <row r="152" spans="1:64" ht="36" customHeight="1" x14ac:dyDescent="0.3">
      <c r="A152" s="15">
        <v>150</v>
      </c>
      <c r="B152" s="16" t="s">
        <v>1042</v>
      </c>
      <c r="C152" s="15"/>
      <c r="D152" s="17">
        <v>2024</v>
      </c>
      <c r="E152" s="21" t="s">
        <v>383</v>
      </c>
      <c r="F152" s="21" t="s">
        <v>254</v>
      </c>
      <c r="G152" s="44" t="s">
        <v>687</v>
      </c>
      <c r="H152" s="53"/>
      <c r="I152" s="53"/>
      <c r="J152" s="53"/>
      <c r="K152" s="21" t="s">
        <v>240</v>
      </c>
      <c r="L152" s="17" t="s">
        <v>93</v>
      </c>
      <c r="M152" s="17" t="s">
        <v>94</v>
      </c>
      <c r="N152" s="17" t="s">
        <v>484</v>
      </c>
      <c r="O152" s="17" t="s">
        <v>42</v>
      </c>
      <c r="P152" s="17" t="s">
        <v>487</v>
      </c>
      <c r="Q152" s="72"/>
      <c r="R152" s="72"/>
      <c r="S152" s="72">
        <v>11900.821300586174</v>
      </c>
      <c r="T152" s="48">
        <v>0</v>
      </c>
      <c r="U152" s="59">
        <v>3</v>
      </c>
      <c r="V152" s="15"/>
      <c r="W152" s="15"/>
      <c r="X152" s="17" t="s">
        <v>9</v>
      </c>
      <c r="Y152" s="18"/>
      <c r="Z152" s="18"/>
      <c r="AA152" s="18"/>
      <c r="AB152" s="21" t="s">
        <v>33</v>
      </c>
      <c r="AC152" s="18"/>
      <c r="AD152" s="17"/>
      <c r="AE152" s="17"/>
      <c r="AF152" s="17"/>
      <c r="AG152" s="59"/>
      <c r="AH152" s="18"/>
      <c r="AI152" s="85"/>
      <c r="AJ152" s="85"/>
      <c r="AK152" s="85"/>
      <c r="AL152" s="92"/>
      <c r="AM152" s="62"/>
      <c r="AN152" s="62"/>
      <c r="AO152" s="62"/>
      <c r="AP152" s="62"/>
      <c r="AQ152" s="62"/>
      <c r="AR152" s="92">
        <f t="shared" si="10"/>
        <v>0</v>
      </c>
      <c r="AS152" s="85"/>
      <c r="AT152" s="85"/>
      <c r="AU152" s="85"/>
      <c r="AV152" s="85"/>
      <c r="AW152" s="85"/>
      <c r="AX152" s="85"/>
      <c r="AY152" s="92"/>
      <c r="AZ152" s="85"/>
      <c r="BA152" s="85"/>
      <c r="BB152" s="92"/>
      <c r="BC152" s="92"/>
      <c r="BD152" s="107">
        <v>7.3</v>
      </c>
      <c r="BE152" s="107"/>
      <c r="BF152" s="79"/>
      <c r="BG152" s="79"/>
      <c r="BH152" s="79"/>
      <c r="BI152" s="79"/>
      <c r="BJ152" s="79"/>
      <c r="BK152" s="79"/>
      <c r="BL152" s="21"/>
    </row>
    <row r="153" spans="1:64" ht="36" customHeight="1" x14ac:dyDescent="0.3">
      <c r="A153" s="15">
        <v>151</v>
      </c>
      <c r="B153" s="16" t="s">
        <v>965</v>
      </c>
      <c r="C153" s="15"/>
      <c r="D153" s="17">
        <v>2024</v>
      </c>
      <c r="E153" s="21" t="s">
        <v>382</v>
      </c>
      <c r="F153" s="21" t="s">
        <v>226</v>
      </c>
      <c r="G153" s="44" t="s">
        <v>687</v>
      </c>
      <c r="H153" s="48">
        <v>136100000000</v>
      </c>
      <c r="I153" s="53"/>
      <c r="J153" s="53"/>
      <c r="K153" s="21" t="s">
        <v>397</v>
      </c>
      <c r="L153" s="17" t="s">
        <v>93</v>
      </c>
      <c r="M153" s="17" t="s">
        <v>114</v>
      </c>
      <c r="N153" s="17" t="s">
        <v>199</v>
      </c>
      <c r="O153" s="17" t="s">
        <v>42</v>
      </c>
      <c r="P153" s="21" t="s">
        <v>697</v>
      </c>
      <c r="Q153" s="76"/>
      <c r="R153" s="76">
        <v>3466</v>
      </c>
      <c r="S153" s="72">
        <v>51707.18</v>
      </c>
      <c r="T153" s="58">
        <v>6</v>
      </c>
      <c r="U153" s="59">
        <v>14</v>
      </c>
      <c r="V153" s="17" t="s">
        <v>16</v>
      </c>
      <c r="W153" s="17" t="s">
        <v>16</v>
      </c>
      <c r="X153" s="17" t="s">
        <v>64</v>
      </c>
      <c r="Y153" s="18"/>
      <c r="Z153" s="21" t="s">
        <v>1074</v>
      </c>
      <c r="AA153" s="18" t="s">
        <v>1053</v>
      </c>
      <c r="AB153" s="21" t="s">
        <v>1199</v>
      </c>
      <c r="AC153" s="21"/>
      <c r="AD153" s="17"/>
      <c r="AE153" s="17"/>
      <c r="AF153" s="17"/>
      <c r="AG153" s="59"/>
      <c r="AH153" s="18"/>
      <c r="AI153" s="85"/>
      <c r="AJ153" s="85"/>
      <c r="AK153" s="85"/>
      <c r="AL153" s="92"/>
      <c r="AM153" s="62"/>
      <c r="AN153" s="62"/>
      <c r="AO153" s="62"/>
      <c r="AP153" s="62"/>
      <c r="AQ153" s="62"/>
      <c r="AR153" s="92">
        <f t="shared" si="10"/>
        <v>0</v>
      </c>
      <c r="AS153" s="85"/>
      <c r="AT153" s="85"/>
      <c r="AU153" s="85"/>
      <c r="AV153" s="85"/>
      <c r="AW153" s="85"/>
      <c r="AX153" s="85"/>
      <c r="AY153" s="92"/>
      <c r="AZ153" s="85"/>
      <c r="BA153" s="85"/>
      <c r="BB153" s="92"/>
      <c r="BC153" s="92"/>
      <c r="BD153" s="107">
        <v>37.5</v>
      </c>
      <c r="BE153" s="107"/>
      <c r="BF153" s="79"/>
      <c r="BG153" s="79"/>
      <c r="BH153" s="79"/>
      <c r="BI153" s="79"/>
      <c r="BJ153" s="79"/>
      <c r="BK153" s="79"/>
      <c r="BL153" s="21"/>
    </row>
    <row r="154" spans="1:64" ht="36" customHeight="1" x14ac:dyDescent="0.3">
      <c r="A154" s="15">
        <v>152</v>
      </c>
      <c r="B154" s="16" t="s">
        <v>968</v>
      </c>
      <c r="C154" s="15"/>
      <c r="D154" s="17">
        <v>2024</v>
      </c>
      <c r="E154" s="21" t="s">
        <v>633</v>
      </c>
      <c r="F154" s="21" t="s">
        <v>36</v>
      </c>
      <c r="G154" s="44" t="s">
        <v>687</v>
      </c>
      <c r="H154" s="48">
        <v>290840000000</v>
      </c>
      <c r="I154" s="53"/>
      <c r="J154" s="53"/>
      <c r="K154" s="21" t="s">
        <v>242</v>
      </c>
      <c r="L154" s="17" t="s">
        <v>492</v>
      </c>
      <c r="M154" s="17" t="s">
        <v>36</v>
      </c>
      <c r="N154" s="17" t="s">
        <v>483</v>
      </c>
      <c r="O154" s="17" t="s">
        <v>42</v>
      </c>
      <c r="P154" s="17" t="s">
        <v>7</v>
      </c>
      <c r="Q154" s="72">
        <v>98421</v>
      </c>
      <c r="R154" s="72"/>
      <c r="S154" s="72">
        <v>161983.40103575625</v>
      </c>
      <c r="T154" s="48">
        <v>2</v>
      </c>
      <c r="U154" s="66">
        <v>3</v>
      </c>
      <c r="V154" s="15"/>
      <c r="W154" s="15"/>
      <c r="X154" s="17" t="s">
        <v>9</v>
      </c>
      <c r="Y154" s="18"/>
      <c r="Z154" s="18"/>
      <c r="AA154" s="18"/>
      <c r="AB154" s="21" t="s">
        <v>33</v>
      </c>
      <c r="AC154" s="18"/>
      <c r="AD154" s="17"/>
      <c r="AE154" s="17"/>
      <c r="AF154" s="17"/>
      <c r="AG154" s="59"/>
      <c r="AH154" s="18"/>
      <c r="AI154" s="85"/>
      <c r="AJ154" s="85"/>
      <c r="AK154" s="85"/>
      <c r="AL154" s="92"/>
      <c r="AM154" s="62"/>
      <c r="AN154" s="62"/>
      <c r="AO154" s="62"/>
      <c r="AP154" s="62"/>
      <c r="AQ154" s="62"/>
      <c r="AR154" s="92">
        <f t="shared" si="10"/>
        <v>0</v>
      </c>
      <c r="AS154" s="85"/>
      <c r="AT154" s="85"/>
      <c r="AU154" s="85"/>
      <c r="AV154" s="85"/>
      <c r="AW154" s="85"/>
      <c r="AX154" s="85"/>
      <c r="AY154" s="92"/>
      <c r="AZ154" s="85"/>
      <c r="BA154" s="85"/>
      <c r="BB154" s="92"/>
      <c r="BC154" s="92"/>
      <c r="BD154" s="107">
        <v>44</v>
      </c>
      <c r="BE154" s="107"/>
      <c r="BF154" s="79"/>
      <c r="BG154" s="79"/>
      <c r="BH154" s="79"/>
      <c r="BI154" s="79"/>
      <c r="BJ154" s="79"/>
      <c r="BK154" s="79"/>
      <c r="BL154" s="21"/>
    </row>
    <row r="155" spans="1:64" ht="36" customHeight="1" x14ac:dyDescent="0.3">
      <c r="A155" s="15">
        <v>153</v>
      </c>
      <c r="B155" s="16" t="s">
        <v>966</v>
      </c>
      <c r="C155" s="16" t="s">
        <v>967</v>
      </c>
      <c r="D155" s="17">
        <v>2024</v>
      </c>
      <c r="E155" s="21" t="s">
        <v>604</v>
      </c>
      <c r="F155" s="21" t="s">
        <v>255</v>
      </c>
      <c r="G155" s="44" t="s">
        <v>687</v>
      </c>
      <c r="H155" s="48">
        <v>56750000000</v>
      </c>
      <c r="I155" s="53"/>
      <c r="J155" s="53"/>
      <c r="K155" s="21" t="s">
        <v>242</v>
      </c>
      <c r="L155" s="17" t="s">
        <v>93</v>
      </c>
      <c r="M155" s="17" t="s">
        <v>87</v>
      </c>
      <c r="N155" s="17" t="s">
        <v>199</v>
      </c>
      <c r="O155" s="17" t="s">
        <v>42</v>
      </c>
      <c r="P155" s="17" t="s">
        <v>4</v>
      </c>
      <c r="Q155" s="72"/>
      <c r="R155" s="76">
        <v>11415</v>
      </c>
      <c r="S155" s="72">
        <v>17950.405461717481</v>
      </c>
      <c r="T155" s="58">
        <v>5</v>
      </c>
      <c r="U155" s="59">
        <v>18</v>
      </c>
      <c r="V155" s="17" t="s">
        <v>18</v>
      </c>
      <c r="W155" s="17" t="s">
        <v>18</v>
      </c>
      <c r="X155" s="17" t="s">
        <v>64</v>
      </c>
      <c r="Y155" s="18"/>
      <c r="Z155" s="18" t="s">
        <v>1075</v>
      </c>
      <c r="AA155" s="17" t="s">
        <v>41</v>
      </c>
      <c r="AB155" s="21" t="s">
        <v>1199</v>
      </c>
      <c r="AC155" s="21"/>
      <c r="AD155" s="17"/>
      <c r="AE155" s="17"/>
      <c r="AF155" s="17"/>
      <c r="AG155" s="59"/>
      <c r="AH155" s="18"/>
      <c r="AI155" s="85"/>
      <c r="AJ155" s="85"/>
      <c r="AK155" s="85"/>
      <c r="AL155" s="92"/>
      <c r="AM155" s="62"/>
      <c r="AN155" s="62"/>
      <c r="AO155" s="62"/>
      <c r="AP155" s="62"/>
      <c r="AQ155" s="62"/>
      <c r="AR155" s="92">
        <f t="shared" si="10"/>
        <v>0</v>
      </c>
      <c r="AS155" s="85"/>
      <c r="AT155" s="85"/>
      <c r="AU155" s="85"/>
      <c r="AV155" s="85"/>
      <c r="AW155" s="85"/>
      <c r="AX155" s="85"/>
      <c r="AY155" s="92"/>
      <c r="AZ155" s="85"/>
      <c r="BA155" s="85"/>
      <c r="BB155" s="92"/>
      <c r="BC155" s="92"/>
      <c r="BD155" s="107">
        <v>33</v>
      </c>
      <c r="BE155" s="107"/>
      <c r="BF155" s="79"/>
      <c r="BG155" s="79"/>
      <c r="BH155" s="79"/>
      <c r="BI155" s="79"/>
      <c r="BJ155" s="79"/>
      <c r="BK155" s="79"/>
      <c r="BL155" s="21"/>
    </row>
    <row r="156" spans="1:64" ht="36" customHeight="1" x14ac:dyDescent="0.3">
      <c r="A156" s="15">
        <v>154</v>
      </c>
      <c r="B156" s="16" t="s">
        <v>969</v>
      </c>
      <c r="C156" s="16" t="s">
        <v>970</v>
      </c>
      <c r="D156" s="15">
        <v>2024</v>
      </c>
      <c r="E156" s="17" t="s">
        <v>634</v>
      </c>
      <c r="F156" s="15" t="s">
        <v>558</v>
      </c>
      <c r="G156" s="19" t="s">
        <v>225</v>
      </c>
      <c r="H156" s="48">
        <v>266330000000</v>
      </c>
      <c r="I156" s="53"/>
      <c r="J156" s="48"/>
      <c r="K156" s="18" t="s">
        <v>243</v>
      </c>
      <c r="L156" s="15" t="s">
        <v>155</v>
      </c>
      <c r="M156" s="15" t="s">
        <v>190</v>
      </c>
      <c r="N156" s="15" t="s">
        <v>90</v>
      </c>
      <c r="O156" s="15" t="s">
        <v>42</v>
      </c>
      <c r="P156" s="18" t="s">
        <v>7</v>
      </c>
      <c r="Q156" s="70">
        <v>66816</v>
      </c>
      <c r="R156" s="70">
        <v>30035.02</v>
      </c>
      <c r="S156" s="81">
        <v>189353</v>
      </c>
      <c r="T156" s="48">
        <v>3</v>
      </c>
      <c r="U156" s="53">
        <v>4</v>
      </c>
      <c r="V156" s="15" t="s">
        <v>24</v>
      </c>
      <c r="W156" s="18" t="s">
        <v>24</v>
      </c>
      <c r="X156" s="18" t="s">
        <v>9</v>
      </c>
      <c r="Y156" s="18" t="s">
        <v>62</v>
      </c>
      <c r="Z156" s="18"/>
      <c r="AA156" s="18"/>
      <c r="AB156" s="18" t="s">
        <v>33</v>
      </c>
      <c r="AC156" s="18" t="s">
        <v>1196</v>
      </c>
      <c r="AD156" s="18" t="s">
        <v>1082</v>
      </c>
      <c r="AE156" s="18" t="s">
        <v>430</v>
      </c>
      <c r="AF156" s="18"/>
      <c r="AG156" s="85"/>
      <c r="AH156" s="18" t="s">
        <v>325</v>
      </c>
      <c r="AI156" s="85"/>
      <c r="AJ156" s="85"/>
      <c r="AK156" s="85"/>
      <c r="AL156" s="92"/>
      <c r="AM156" s="92"/>
      <c r="AN156" s="92"/>
      <c r="AO156" s="92"/>
      <c r="AP156" s="92"/>
      <c r="AQ156" s="92"/>
      <c r="AR156" s="92">
        <f t="shared" si="10"/>
        <v>0</v>
      </c>
      <c r="AS156" s="85"/>
      <c r="AT156" s="85"/>
      <c r="AU156" s="85"/>
      <c r="AV156" s="85"/>
      <c r="AW156" s="85"/>
      <c r="AX156" s="85"/>
      <c r="AY156" s="92"/>
      <c r="AZ156" s="85"/>
      <c r="BA156" s="85"/>
      <c r="BB156" s="92"/>
      <c r="BC156" s="92"/>
      <c r="BD156" s="102">
        <v>36</v>
      </c>
      <c r="BE156" s="102"/>
      <c r="BF156" s="79"/>
      <c r="BG156" s="79">
        <f>455/30</f>
        <v>15.166666666666666</v>
      </c>
      <c r="BH156" s="79">
        <f>435/30</f>
        <v>14.5</v>
      </c>
      <c r="BI156" s="79">
        <f>368/30</f>
        <v>12.266666666666667</v>
      </c>
      <c r="BJ156" s="79">
        <f>210/30</f>
        <v>7</v>
      </c>
      <c r="BK156" s="79">
        <f>260/30</f>
        <v>8.6666666666666661</v>
      </c>
      <c r="BL156" s="15"/>
    </row>
    <row r="157" spans="1:64" ht="36" customHeight="1" x14ac:dyDescent="0.3">
      <c r="A157" s="15">
        <v>155</v>
      </c>
      <c r="B157" s="16" t="s">
        <v>971</v>
      </c>
      <c r="C157" s="15"/>
      <c r="D157" s="17">
        <v>2024</v>
      </c>
      <c r="E157" s="21" t="s">
        <v>603</v>
      </c>
      <c r="F157" s="21" t="s">
        <v>219</v>
      </c>
      <c r="G157" s="44" t="s">
        <v>687</v>
      </c>
      <c r="H157" s="48">
        <v>18490000000</v>
      </c>
      <c r="I157" s="53"/>
      <c r="J157" s="53"/>
      <c r="K157" s="21" t="s">
        <v>236</v>
      </c>
      <c r="L157" s="17" t="s">
        <v>116</v>
      </c>
      <c r="M157" s="17" t="s">
        <v>191</v>
      </c>
      <c r="N157" s="17" t="s">
        <v>484</v>
      </c>
      <c r="O157" s="17" t="s">
        <v>42</v>
      </c>
      <c r="P157" s="18" t="s">
        <v>14</v>
      </c>
      <c r="Q157" s="76">
        <v>49600</v>
      </c>
      <c r="R157" s="70"/>
      <c r="S157" s="72">
        <v>71816.28</v>
      </c>
      <c r="T157" s="58">
        <v>2</v>
      </c>
      <c r="U157" s="59">
        <v>3</v>
      </c>
      <c r="V157" s="15"/>
      <c r="W157" s="30" t="s">
        <v>16</v>
      </c>
      <c r="X157" s="17" t="s">
        <v>9</v>
      </c>
      <c r="Y157" s="18"/>
      <c r="Z157" s="18"/>
      <c r="AA157" s="18"/>
      <c r="AB157" s="18" t="s">
        <v>1196</v>
      </c>
      <c r="AC157" s="18"/>
      <c r="AD157" s="17"/>
      <c r="AE157" s="17"/>
      <c r="AF157" s="17"/>
      <c r="AG157" s="59"/>
      <c r="AH157" s="18"/>
      <c r="AI157" s="85"/>
      <c r="AJ157" s="85"/>
      <c r="AK157" s="85"/>
      <c r="AL157" s="92"/>
      <c r="AM157" s="62"/>
      <c r="AN157" s="62"/>
      <c r="AO157" s="62"/>
      <c r="AP157" s="62"/>
      <c r="AQ157" s="62"/>
      <c r="AR157" s="92">
        <f t="shared" si="10"/>
        <v>0</v>
      </c>
      <c r="AS157" s="85"/>
      <c r="AT157" s="85"/>
      <c r="AU157" s="85"/>
      <c r="AV157" s="85"/>
      <c r="AW157" s="85"/>
      <c r="AX157" s="85"/>
      <c r="AY157" s="92"/>
      <c r="AZ157" s="85"/>
      <c r="BA157" s="85"/>
      <c r="BB157" s="92"/>
      <c r="BC157" s="92"/>
      <c r="BD157" s="107">
        <v>18</v>
      </c>
      <c r="BE157" s="107"/>
      <c r="BF157" s="79"/>
      <c r="BG157" s="79"/>
      <c r="BH157" s="79"/>
      <c r="BI157" s="79"/>
      <c r="BJ157" s="79"/>
      <c r="BK157" s="79"/>
      <c r="BL157" s="21"/>
    </row>
    <row r="158" spans="1:64" ht="36" customHeight="1" x14ac:dyDescent="0.3">
      <c r="A158" s="15">
        <v>156</v>
      </c>
      <c r="B158" s="16" t="s">
        <v>972</v>
      </c>
      <c r="C158" s="16" t="s">
        <v>973</v>
      </c>
      <c r="D158" s="15">
        <v>2024</v>
      </c>
      <c r="E158" s="17" t="s">
        <v>559</v>
      </c>
      <c r="F158" s="15" t="s">
        <v>513</v>
      </c>
      <c r="G158" s="19" t="s">
        <v>225</v>
      </c>
      <c r="H158" s="48">
        <v>19600000000</v>
      </c>
      <c r="I158" s="53"/>
      <c r="J158" s="48"/>
      <c r="K158" s="18" t="s">
        <v>241</v>
      </c>
      <c r="L158" s="15" t="s">
        <v>134</v>
      </c>
      <c r="M158" s="17" t="s">
        <v>36</v>
      </c>
      <c r="N158" s="15" t="s">
        <v>90</v>
      </c>
      <c r="O158" s="15" t="s">
        <v>42</v>
      </c>
      <c r="P158" s="18" t="s">
        <v>14</v>
      </c>
      <c r="Q158" s="70">
        <v>432102</v>
      </c>
      <c r="R158" s="70">
        <v>2693.17</v>
      </c>
      <c r="S158" s="81">
        <v>6733.11</v>
      </c>
      <c r="T158" s="48">
        <v>1</v>
      </c>
      <c r="U158" s="53">
        <v>6</v>
      </c>
      <c r="V158" s="15" t="s">
        <v>16</v>
      </c>
      <c r="W158" s="18" t="s">
        <v>18</v>
      </c>
      <c r="X158" s="18" t="s">
        <v>9</v>
      </c>
      <c r="Y158" s="18" t="s">
        <v>61</v>
      </c>
      <c r="Z158" s="18"/>
      <c r="AA158" s="18"/>
      <c r="AB158" s="18" t="s">
        <v>33</v>
      </c>
      <c r="AC158" s="18"/>
      <c r="AD158" s="18" t="s">
        <v>1082</v>
      </c>
      <c r="AE158" s="18" t="s">
        <v>1213</v>
      </c>
      <c r="AF158" s="18"/>
      <c r="AG158" s="85"/>
      <c r="AH158" s="18" t="s">
        <v>285</v>
      </c>
      <c r="AI158" s="85"/>
      <c r="AJ158" s="85"/>
      <c r="AK158" s="85"/>
      <c r="AL158" s="92"/>
      <c r="AM158" s="92"/>
      <c r="AN158" s="92"/>
      <c r="AO158" s="92"/>
      <c r="AP158" s="92"/>
      <c r="AQ158" s="92"/>
      <c r="AR158" s="92">
        <f t="shared" ref="AR158:AR189" si="11">AL158</f>
        <v>0</v>
      </c>
      <c r="AS158" s="85"/>
      <c r="AT158" s="85"/>
      <c r="AU158" s="85"/>
      <c r="AV158" s="85"/>
      <c r="AW158" s="85"/>
      <c r="AX158" s="85"/>
      <c r="AY158" s="92"/>
      <c r="AZ158" s="85"/>
      <c r="BA158" s="85"/>
      <c r="BB158" s="92"/>
      <c r="BC158" s="92"/>
      <c r="BD158" s="102">
        <v>17</v>
      </c>
      <c r="BE158" s="102"/>
      <c r="BF158" s="79"/>
      <c r="BG158" s="79">
        <v>2</v>
      </c>
      <c r="BH158" s="79"/>
      <c r="BI158" s="79">
        <v>7.5</v>
      </c>
      <c r="BJ158" s="79">
        <v>7</v>
      </c>
      <c r="BK158" s="79">
        <v>6</v>
      </c>
      <c r="BL158" s="15"/>
    </row>
    <row r="159" spans="1:64" ht="36" customHeight="1" x14ac:dyDescent="0.3">
      <c r="A159" s="15">
        <v>157</v>
      </c>
      <c r="B159" s="16" t="s">
        <v>974</v>
      </c>
      <c r="C159" s="16" t="s">
        <v>975</v>
      </c>
      <c r="D159" s="15">
        <v>2024</v>
      </c>
      <c r="E159" s="17" t="s">
        <v>428</v>
      </c>
      <c r="F159" s="15" t="s">
        <v>429</v>
      </c>
      <c r="G159" s="19" t="s">
        <v>225</v>
      </c>
      <c r="H159" s="48">
        <v>142440000000</v>
      </c>
      <c r="I159" s="53"/>
      <c r="J159" s="48"/>
      <c r="K159" s="18" t="s">
        <v>243</v>
      </c>
      <c r="L159" s="15" t="s">
        <v>93</v>
      </c>
      <c r="M159" s="15" t="s">
        <v>102</v>
      </c>
      <c r="N159" s="15" t="s">
        <v>199</v>
      </c>
      <c r="O159" s="15" t="s">
        <v>42</v>
      </c>
      <c r="P159" s="18" t="s">
        <v>4</v>
      </c>
      <c r="Q159" s="70">
        <v>2735.4</v>
      </c>
      <c r="R159" s="70">
        <v>1323.07</v>
      </c>
      <c r="S159" s="81">
        <v>25230</v>
      </c>
      <c r="T159" s="48">
        <v>8</v>
      </c>
      <c r="U159" s="53">
        <v>24</v>
      </c>
      <c r="V159" s="15" t="s">
        <v>18</v>
      </c>
      <c r="W159" s="18" t="s">
        <v>18</v>
      </c>
      <c r="X159" s="18" t="s">
        <v>64</v>
      </c>
      <c r="Y159" s="18" t="s">
        <v>62</v>
      </c>
      <c r="Z159" s="18" t="s">
        <v>1075</v>
      </c>
      <c r="AA159" s="18" t="s">
        <v>1053</v>
      </c>
      <c r="AB159" s="18" t="s">
        <v>20</v>
      </c>
      <c r="AC159" s="18"/>
      <c r="AD159" s="18" t="s">
        <v>312</v>
      </c>
      <c r="AE159" s="18" t="s">
        <v>410</v>
      </c>
      <c r="AF159" s="18"/>
      <c r="AG159" s="85"/>
      <c r="AH159" s="18" t="s">
        <v>264</v>
      </c>
      <c r="AI159" s="85"/>
      <c r="AJ159" s="85"/>
      <c r="AK159" s="85"/>
      <c r="AL159" s="92"/>
      <c r="AM159" s="92"/>
      <c r="AN159" s="92"/>
      <c r="AO159" s="92"/>
      <c r="AP159" s="92"/>
      <c r="AQ159" s="92"/>
      <c r="AR159" s="92">
        <f t="shared" si="11"/>
        <v>0</v>
      </c>
      <c r="AS159" s="85"/>
      <c r="AT159" s="85"/>
      <c r="AU159" s="85"/>
      <c r="AV159" s="85"/>
      <c r="AW159" s="85"/>
      <c r="AX159" s="85"/>
      <c r="AY159" s="92"/>
      <c r="AZ159" s="85"/>
      <c r="BA159" s="85"/>
      <c r="BB159" s="92"/>
      <c r="BC159" s="92"/>
      <c r="BD159" s="102">
        <v>48</v>
      </c>
      <c r="BE159" s="102"/>
      <c r="BF159" s="79"/>
      <c r="BG159" s="79">
        <f>723/30</f>
        <v>24.1</v>
      </c>
      <c r="BH159" s="79"/>
      <c r="BI159" s="79">
        <v>22.933333333333334</v>
      </c>
      <c r="BJ159" s="79">
        <f>350/30</f>
        <v>11.666666666666666</v>
      </c>
      <c r="BK159" s="79">
        <f>411/30</f>
        <v>13.7</v>
      </c>
      <c r="BL159" s="15"/>
    </row>
    <row r="160" spans="1:64" ht="36" customHeight="1" x14ac:dyDescent="0.3">
      <c r="A160" s="15">
        <v>158</v>
      </c>
      <c r="B160" s="16" t="s">
        <v>976</v>
      </c>
      <c r="C160" s="15"/>
      <c r="D160" s="17">
        <v>2024</v>
      </c>
      <c r="E160" s="21" t="s">
        <v>251</v>
      </c>
      <c r="F160" s="21" t="s">
        <v>244</v>
      </c>
      <c r="G160" s="44" t="s">
        <v>687</v>
      </c>
      <c r="H160" s="48">
        <v>59000000000</v>
      </c>
      <c r="I160" s="53"/>
      <c r="J160" s="53"/>
      <c r="K160" s="21" t="s">
        <v>241</v>
      </c>
      <c r="L160" s="17" t="s">
        <v>167</v>
      </c>
      <c r="M160" s="17" t="s">
        <v>192</v>
      </c>
      <c r="N160" s="17" t="s">
        <v>483</v>
      </c>
      <c r="O160" s="17" t="s">
        <v>42</v>
      </c>
      <c r="P160" s="18" t="s">
        <v>14</v>
      </c>
      <c r="Q160" s="76">
        <v>29999</v>
      </c>
      <c r="R160" s="70"/>
      <c r="S160" s="72">
        <v>11442.74</v>
      </c>
      <c r="T160" s="58">
        <v>1</v>
      </c>
      <c r="U160" s="59">
        <v>2</v>
      </c>
      <c r="V160" s="15"/>
      <c r="W160" s="30" t="s">
        <v>18</v>
      </c>
      <c r="X160" s="17" t="s">
        <v>9</v>
      </c>
      <c r="Y160" s="18" t="s">
        <v>61</v>
      </c>
      <c r="Z160" s="17"/>
      <c r="AA160" s="18"/>
      <c r="AB160" s="21" t="s">
        <v>33</v>
      </c>
      <c r="AC160" s="18"/>
      <c r="AD160" s="17"/>
      <c r="AE160" s="17"/>
      <c r="AF160" s="17"/>
      <c r="AG160" s="59"/>
      <c r="AH160" s="18"/>
      <c r="AI160" s="85"/>
      <c r="AJ160" s="85"/>
      <c r="AK160" s="85"/>
      <c r="AL160" s="92"/>
      <c r="AM160" s="62"/>
      <c r="AN160" s="62"/>
      <c r="AO160" s="62"/>
      <c r="AP160" s="62"/>
      <c r="AQ160" s="62"/>
      <c r="AR160" s="92">
        <f t="shared" si="11"/>
        <v>0</v>
      </c>
      <c r="AS160" s="85"/>
      <c r="AT160" s="85"/>
      <c r="AU160" s="85"/>
      <c r="AV160" s="85"/>
      <c r="AW160" s="85"/>
      <c r="AX160" s="85"/>
      <c r="AY160" s="92"/>
      <c r="AZ160" s="85"/>
      <c r="BA160" s="85"/>
      <c r="BB160" s="92"/>
      <c r="BC160" s="92"/>
      <c r="BD160" s="107">
        <v>22</v>
      </c>
      <c r="BE160" s="107"/>
      <c r="BF160" s="79"/>
      <c r="BG160" s="79">
        <f>249/30</f>
        <v>8.3000000000000007</v>
      </c>
      <c r="BH160" s="79"/>
      <c r="BI160" s="79">
        <f>317/30</f>
        <v>10.566666666666666</v>
      </c>
      <c r="BJ160" s="79">
        <f>150/30</f>
        <v>5</v>
      </c>
      <c r="BK160" s="79">
        <f>120/30</f>
        <v>4</v>
      </c>
      <c r="BL160" s="21"/>
    </row>
    <row r="161" spans="1:64" ht="36" customHeight="1" x14ac:dyDescent="0.3">
      <c r="A161" s="15">
        <v>160</v>
      </c>
      <c r="B161" s="16" t="s">
        <v>977</v>
      </c>
      <c r="C161" s="15"/>
      <c r="D161" s="17">
        <v>2024</v>
      </c>
      <c r="E161" s="17" t="s">
        <v>635</v>
      </c>
      <c r="F161" s="15" t="s">
        <v>424</v>
      </c>
      <c r="G161" s="19" t="s">
        <v>687</v>
      </c>
      <c r="H161" s="48">
        <v>368170000000</v>
      </c>
      <c r="I161" s="53"/>
      <c r="J161" s="53"/>
      <c r="K161" s="15" t="s">
        <v>242</v>
      </c>
      <c r="L161" s="17" t="s">
        <v>103</v>
      </c>
      <c r="M161" s="17" t="s">
        <v>420</v>
      </c>
      <c r="N161" s="17" t="s">
        <v>483</v>
      </c>
      <c r="O161" s="30" t="s">
        <v>42</v>
      </c>
      <c r="P161" s="17" t="s">
        <v>7</v>
      </c>
      <c r="Q161" s="72">
        <v>110759</v>
      </c>
      <c r="R161" s="72">
        <v>61078.59</v>
      </c>
      <c r="S161" s="72">
        <v>282590.44</v>
      </c>
      <c r="T161" s="58">
        <v>3</v>
      </c>
      <c r="U161" s="59">
        <v>4</v>
      </c>
      <c r="V161" s="17" t="s">
        <v>24</v>
      </c>
      <c r="W161" s="17" t="s">
        <v>24</v>
      </c>
      <c r="X161" s="17" t="s">
        <v>9</v>
      </c>
      <c r="Y161" s="17" t="s">
        <v>62</v>
      </c>
      <c r="Z161" s="18"/>
      <c r="AA161" s="18"/>
      <c r="AB161" s="21" t="s">
        <v>33</v>
      </c>
      <c r="AC161" s="18"/>
      <c r="AD161" s="21" t="s">
        <v>1082</v>
      </c>
      <c r="AE161" s="17" t="s">
        <v>266</v>
      </c>
      <c r="AF161" s="17"/>
      <c r="AG161" s="59"/>
      <c r="AH161" s="17" t="s">
        <v>325</v>
      </c>
      <c r="AI161" s="59"/>
      <c r="AJ161" s="59"/>
      <c r="AK161" s="59"/>
      <c r="AL161" s="92"/>
      <c r="AM161" s="65"/>
      <c r="AN161" s="65"/>
      <c r="AO161" s="65"/>
      <c r="AP161" s="65"/>
      <c r="AQ161" s="65"/>
      <c r="AR161" s="92">
        <f t="shared" si="11"/>
        <v>0</v>
      </c>
      <c r="AS161" s="59"/>
      <c r="AT161" s="59"/>
      <c r="AU161" s="59"/>
      <c r="AV161" s="59"/>
      <c r="AW161" s="59"/>
      <c r="AX161" s="59"/>
      <c r="AY161" s="62"/>
      <c r="AZ161" s="59"/>
      <c r="BA161" s="59"/>
      <c r="BB161" s="62"/>
      <c r="BC161" s="62"/>
      <c r="BD161" s="107">
        <v>29</v>
      </c>
      <c r="BE161" s="107"/>
      <c r="BF161" s="79"/>
      <c r="BG161" s="79"/>
      <c r="BH161" s="107">
        <f>608/30</f>
        <v>20.266666666666666</v>
      </c>
      <c r="BI161" s="107">
        <f>586/30</f>
        <v>19.533333333333335</v>
      </c>
      <c r="BJ161" s="107">
        <f>210/30</f>
        <v>7</v>
      </c>
      <c r="BK161" s="107">
        <f>253/30</f>
        <v>8.4333333333333336</v>
      </c>
      <c r="BL161" s="21" t="s">
        <v>1141</v>
      </c>
    </row>
    <row r="162" spans="1:64" ht="36" customHeight="1" x14ac:dyDescent="0.3">
      <c r="A162" s="15">
        <v>161</v>
      </c>
      <c r="B162" s="16" t="s">
        <v>978</v>
      </c>
      <c r="C162" s="16" t="s">
        <v>979</v>
      </c>
      <c r="D162" s="15">
        <v>2024</v>
      </c>
      <c r="E162" s="17" t="s">
        <v>214</v>
      </c>
      <c r="F162" s="15" t="s">
        <v>425</v>
      </c>
      <c r="G162" s="19" t="s">
        <v>225</v>
      </c>
      <c r="H162" s="48">
        <v>44604000000</v>
      </c>
      <c r="I162" s="53"/>
      <c r="J162" s="48"/>
      <c r="K162" s="18" t="s">
        <v>241</v>
      </c>
      <c r="L162" s="15" t="s">
        <v>142</v>
      </c>
      <c r="M162" s="15" t="s">
        <v>143</v>
      </c>
      <c r="N162" s="15" t="s">
        <v>90</v>
      </c>
      <c r="O162" s="15" t="s">
        <v>42</v>
      </c>
      <c r="P162" s="17" t="s">
        <v>622</v>
      </c>
      <c r="Q162" s="70">
        <v>11916.5</v>
      </c>
      <c r="R162" s="70">
        <v>4276.9799999999996</v>
      </c>
      <c r="S162" s="81">
        <v>11596</v>
      </c>
      <c r="T162" s="48">
        <v>1</v>
      </c>
      <c r="U162" s="53">
        <v>4</v>
      </c>
      <c r="V162" s="15" t="s">
        <v>16</v>
      </c>
      <c r="W162" s="18" t="s">
        <v>18</v>
      </c>
      <c r="X162" s="18" t="s">
        <v>9</v>
      </c>
      <c r="Y162" s="18" t="s">
        <v>61</v>
      </c>
      <c r="Z162" s="18"/>
      <c r="AA162" s="18"/>
      <c r="AB162" s="18" t="s">
        <v>33</v>
      </c>
      <c r="AC162" s="18"/>
      <c r="AD162" s="18" t="s">
        <v>1082</v>
      </c>
      <c r="AE162" s="18" t="s">
        <v>481</v>
      </c>
      <c r="AF162" s="20" t="s">
        <v>1118</v>
      </c>
      <c r="AG162" s="87">
        <v>1</v>
      </c>
      <c r="AH162" s="18" t="s">
        <v>285</v>
      </c>
      <c r="AI162" s="85"/>
      <c r="AJ162" s="85"/>
      <c r="AK162" s="85"/>
      <c r="AL162" s="91">
        <f>SUM(AM162:AQ162)</f>
        <v>12608</v>
      </c>
      <c r="AM162" s="91">
        <v>12608</v>
      </c>
      <c r="AN162" s="92"/>
      <c r="AO162" s="92"/>
      <c r="AP162" s="92"/>
      <c r="AQ162" s="92"/>
      <c r="AR162" s="92">
        <f t="shared" si="11"/>
        <v>12608</v>
      </c>
      <c r="AS162" s="87"/>
      <c r="AT162" s="85"/>
      <c r="AU162" s="85"/>
      <c r="AV162" s="85"/>
      <c r="AW162" s="85"/>
      <c r="AX162" s="87">
        <v>150</v>
      </c>
      <c r="AY162" s="91">
        <v>465</v>
      </c>
      <c r="AZ162" s="87"/>
      <c r="BA162" s="87"/>
      <c r="BB162" s="91">
        <v>7089</v>
      </c>
      <c r="BC162" s="91">
        <v>1349.36</v>
      </c>
      <c r="BD162" s="102">
        <v>18</v>
      </c>
      <c r="BE162" s="102"/>
      <c r="BF162" s="79"/>
      <c r="BG162" s="105">
        <v>7</v>
      </c>
      <c r="BH162" s="79"/>
      <c r="BI162" s="79">
        <v>7.7</v>
      </c>
      <c r="BJ162" s="79">
        <v>5</v>
      </c>
      <c r="BK162" s="79">
        <v>9</v>
      </c>
      <c r="BL162" s="15"/>
    </row>
    <row r="163" spans="1:64" ht="36" customHeight="1" x14ac:dyDescent="0.3">
      <c r="A163" s="15">
        <v>162</v>
      </c>
      <c r="B163" s="16" t="s">
        <v>980</v>
      </c>
      <c r="C163" s="16" t="s">
        <v>981</v>
      </c>
      <c r="D163" s="15">
        <v>2024</v>
      </c>
      <c r="E163" s="17" t="s">
        <v>78</v>
      </c>
      <c r="F163" s="15" t="s">
        <v>426</v>
      </c>
      <c r="G163" s="19" t="s">
        <v>225</v>
      </c>
      <c r="H163" s="48">
        <v>51086000000</v>
      </c>
      <c r="I163" s="53"/>
      <c r="J163" s="48"/>
      <c r="K163" s="18" t="s">
        <v>241</v>
      </c>
      <c r="L163" s="15" t="s">
        <v>142</v>
      </c>
      <c r="M163" s="15" t="s">
        <v>143</v>
      </c>
      <c r="N163" s="15" t="s">
        <v>90</v>
      </c>
      <c r="O163" s="15" t="s">
        <v>42</v>
      </c>
      <c r="P163" s="17" t="s">
        <v>14</v>
      </c>
      <c r="Q163" s="70">
        <v>85420</v>
      </c>
      <c r="R163" s="70">
        <v>14930.09</v>
      </c>
      <c r="S163" s="81">
        <v>25400.21</v>
      </c>
      <c r="T163" s="48">
        <v>0</v>
      </c>
      <c r="U163" s="53">
        <v>2</v>
      </c>
      <c r="V163" s="15"/>
      <c r="W163" s="18" t="s">
        <v>18</v>
      </c>
      <c r="X163" s="18" t="s">
        <v>9</v>
      </c>
      <c r="Y163" s="18" t="s">
        <v>61</v>
      </c>
      <c r="Z163" s="18"/>
      <c r="AA163" s="18"/>
      <c r="AB163" s="18" t="s">
        <v>33</v>
      </c>
      <c r="AC163" s="18"/>
      <c r="AD163" s="17"/>
      <c r="AE163" s="17"/>
      <c r="AF163" s="17"/>
      <c r="AG163" s="59"/>
      <c r="AH163" s="18" t="s">
        <v>285</v>
      </c>
      <c r="AI163" s="85"/>
      <c r="AJ163" s="85"/>
      <c r="AK163" s="85"/>
      <c r="AL163" s="92"/>
      <c r="AM163" s="92"/>
      <c r="AN163" s="92"/>
      <c r="AO163" s="92"/>
      <c r="AP163" s="92"/>
      <c r="AQ163" s="92"/>
      <c r="AR163" s="92">
        <f t="shared" si="11"/>
        <v>0</v>
      </c>
      <c r="AS163" s="85"/>
      <c r="AT163" s="85"/>
      <c r="AU163" s="85"/>
      <c r="AV163" s="85"/>
      <c r="AW163" s="85"/>
      <c r="AX163" s="85"/>
      <c r="AY163" s="92"/>
      <c r="AZ163" s="85"/>
      <c r="BA163" s="85"/>
      <c r="BB163" s="92"/>
      <c r="BC163" s="92"/>
      <c r="BD163" s="102">
        <v>13</v>
      </c>
      <c r="BE163" s="102"/>
      <c r="BF163" s="79"/>
      <c r="BG163" s="79">
        <v>2</v>
      </c>
      <c r="BH163" s="79"/>
      <c r="BI163" s="79">
        <v>7.5</v>
      </c>
      <c r="BJ163" s="79">
        <v>6</v>
      </c>
      <c r="BK163" s="79">
        <v>6.5</v>
      </c>
      <c r="BL163" s="15"/>
    </row>
    <row r="164" spans="1:64" ht="36" customHeight="1" x14ac:dyDescent="0.3">
      <c r="A164" s="15">
        <v>163</v>
      </c>
      <c r="B164" s="16" t="s">
        <v>984</v>
      </c>
      <c r="C164" s="15"/>
      <c r="D164" s="17">
        <v>2024</v>
      </c>
      <c r="E164" s="21" t="s">
        <v>245</v>
      </c>
      <c r="F164" s="15" t="s">
        <v>419</v>
      </c>
      <c r="G164" s="19" t="s">
        <v>687</v>
      </c>
      <c r="H164" s="48">
        <v>60000000000</v>
      </c>
      <c r="I164" s="53"/>
      <c r="J164" s="53"/>
      <c r="K164" s="15" t="s">
        <v>242</v>
      </c>
      <c r="L164" s="17" t="s">
        <v>93</v>
      </c>
      <c r="M164" s="17" t="s">
        <v>102</v>
      </c>
      <c r="N164" s="17" t="s">
        <v>199</v>
      </c>
      <c r="O164" s="15" t="s">
        <v>5</v>
      </c>
      <c r="P164" s="17" t="s">
        <v>4</v>
      </c>
      <c r="Q164" s="76">
        <v>1589.1</v>
      </c>
      <c r="R164" s="76">
        <v>755.09870967741938</v>
      </c>
      <c r="S164" s="72">
        <v>23408.06</v>
      </c>
      <c r="T164" s="58">
        <v>6</v>
      </c>
      <c r="U164" s="59">
        <v>25</v>
      </c>
      <c r="V164" s="17" t="s">
        <v>16</v>
      </c>
      <c r="W164" s="17" t="s">
        <v>18</v>
      </c>
      <c r="X164" s="21"/>
      <c r="Y164" s="17"/>
      <c r="Z164" s="18"/>
      <c r="AA164" s="18"/>
      <c r="AB164" s="17"/>
      <c r="AC164" s="18"/>
      <c r="AD164" s="17" t="s">
        <v>265</v>
      </c>
      <c r="AE164" s="17" t="s">
        <v>266</v>
      </c>
      <c r="AF164" s="17"/>
      <c r="AG164" s="59"/>
      <c r="AH164" s="17" t="s">
        <v>264</v>
      </c>
      <c r="AI164" s="59"/>
      <c r="AJ164" s="59"/>
      <c r="AK164" s="59"/>
      <c r="AL164" s="92"/>
      <c r="AM164" s="62"/>
      <c r="AN164" s="62"/>
      <c r="AO164" s="62"/>
      <c r="AP164" s="62"/>
      <c r="AQ164" s="62"/>
      <c r="AR164" s="92">
        <f t="shared" si="11"/>
        <v>0</v>
      </c>
      <c r="AS164" s="59"/>
      <c r="AT164" s="59"/>
      <c r="AU164" s="59"/>
      <c r="AV164" s="59"/>
      <c r="AW164" s="59"/>
      <c r="AX164" s="59"/>
      <c r="AY164" s="62"/>
      <c r="AZ164" s="59"/>
      <c r="BA164" s="59"/>
      <c r="BB164" s="62"/>
      <c r="BC164" s="62"/>
      <c r="BD164" s="106">
        <v>28</v>
      </c>
      <c r="BE164" s="106"/>
      <c r="BF164" s="79"/>
      <c r="BG164" s="107"/>
      <c r="BH164" s="79"/>
      <c r="BI164" s="107">
        <f>534/30</f>
        <v>17.8</v>
      </c>
      <c r="BJ164" s="107">
        <f>320/30</f>
        <v>10.666666666666666</v>
      </c>
      <c r="BK164" s="107">
        <f>367/30</f>
        <v>12.233333333333333</v>
      </c>
      <c r="BL164" s="17"/>
    </row>
    <row r="165" spans="1:64" ht="36" customHeight="1" x14ac:dyDescent="0.3">
      <c r="A165" s="15">
        <v>164</v>
      </c>
      <c r="B165" s="16" t="s">
        <v>982</v>
      </c>
      <c r="C165" s="16" t="s">
        <v>983</v>
      </c>
      <c r="D165" s="15">
        <v>2024</v>
      </c>
      <c r="E165" s="17" t="s">
        <v>418</v>
      </c>
      <c r="F165" s="15" t="s">
        <v>560</v>
      </c>
      <c r="G165" s="19" t="s">
        <v>225</v>
      </c>
      <c r="H165" s="48">
        <v>106320000000</v>
      </c>
      <c r="I165" s="53"/>
      <c r="J165" s="48"/>
      <c r="K165" s="18" t="s">
        <v>243</v>
      </c>
      <c r="L165" s="15" t="s">
        <v>93</v>
      </c>
      <c r="M165" s="15" t="s">
        <v>102</v>
      </c>
      <c r="N165" s="15" t="s">
        <v>199</v>
      </c>
      <c r="O165" s="15" t="s">
        <v>5</v>
      </c>
      <c r="P165" s="18" t="s">
        <v>4</v>
      </c>
      <c r="Q165" s="70">
        <v>1936.5</v>
      </c>
      <c r="R165" s="70">
        <v>968.06</v>
      </c>
      <c r="S165" s="81">
        <v>30076.28</v>
      </c>
      <c r="T165" s="48">
        <v>0</v>
      </c>
      <c r="U165" s="53">
        <v>27</v>
      </c>
      <c r="V165" s="15" t="s">
        <v>18</v>
      </c>
      <c r="W165" s="18" t="s">
        <v>18</v>
      </c>
      <c r="X165" s="18" t="s">
        <v>64</v>
      </c>
      <c r="Y165" s="18" t="s">
        <v>61</v>
      </c>
      <c r="Z165" s="21" t="s">
        <v>1074</v>
      </c>
      <c r="AA165" s="18" t="s">
        <v>1053</v>
      </c>
      <c r="AB165" s="18" t="s">
        <v>1199</v>
      </c>
      <c r="AC165" s="18"/>
      <c r="AD165" s="18" t="s">
        <v>1098</v>
      </c>
      <c r="AE165" s="18" t="s">
        <v>265</v>
      </c>
      <c r="AF165" s="18"/>
      <c r="AG165" s="85"/>
      <c r="AH165" s="18" t="s">
        <v>264</v>
      </c>
      <c r="AI165" s="85"/>
      <c r="AJ165" s="85"/>
      <c r="AK165" s="85"/>
      <c r="AL165" s="92"/>
      <c r="AM165" s="92"/>
      <c r="AN165" s="92"/>
      <c r="AO165" s="92"/>
      <c r="AP165" s="92"/>
      <c r="AQ165" s="92"/>
      <c r="AR165" s="92">
        <f t="shared" si="11"/>
        <v>0</v>
      </c>
      <c r="AS165" s="85"/>
      <c r="AT165" s="85"/>
      <c r="AU165" s="85"/>
      <c r="AV165" s="85"/>
      <c r="AW165" s="85"/>
      <c r="AX165" s="85"/>
      <c r="AY165" s="92"/>
      <c r="AZ165" s="85"/>
      <c r="BA165" s="85"/>
      <c r="BB165" s="92"/>
      <c r="BC165" s="92"/>
      <c r="BD165" s="102">
        <v>47</v>
      </c>
      <c r="BE165" s="102"/>
      <c r="BF165" s="79"/>
      <c r="BG165" s="79">
        <v>24</v>
      </c>
      <c r="BH165" s="79"/>
      <c r="BI165" s="79">
        <v>26</v>
      </c>
      <c r="BJ165" s="79">
        <v>11.5</v>
      </c>
      <c r="BK165" s="79">
        <f>455/30</f>
        <v>15.166666666666666</v>
      </c>
      <c r="BL165" s="15"/>
    </row>
    <row r="166" spans="1:64" ht="36" customHeight="1" x14ac:dyDescent="0.3">
      <c r="A166" s="15">
        <v>165</v>
      </c>
      <c r="B166" s="16" t="s">
        <v>1030</v>
      </c>
      <c r="C166" s="15"/>
      <c r="D166" s="17">
        <v>2024</v>
      </c>
      <c r="E166" s="21" t="s">
        <v>636</v>
      </c>
      <c r="F166" s="21" t="s">
        <v>248</v>
      </c>
      <c r="G166" s="44" t="s">
        <v>687</v>
      </c>
      <c r="H166" s="48">
        <v>185200000000</v>
      </c>
      <c r="I166" s="53"/>
      <c r="J166" s="53"/>
      <c r="K166" s="21" t="s">
        <v>242</v>
      </c>
      <c r="L166" s="17" t="s">
        <v>109</v>
      </c>
      <c r="M166" s="17" t="s">
        <v>491</v>
      </c>
      <c r="N166" s="17" t="s">
        <v>484</v>
      </c>
      <c r="O166" s="17" t="s">
        <v>647</v>
      </c>
      <c r="P166" s="17" t="s">
        <v>7</v>
      </c>
      <c r="Q166" s="76"/>
      <c r="R166" s="76">
        <v>15517</v>
      </c>
      <c r="S166" s="72">
        <v>123948.89</v>
      </c>
      <c r="T166" s="58">
        <v>2</v>
      </c>
      <c r="U166" s="59">
        <v>8</v>
      </c>
      <c r="V166" s="30" t="s">
        <v>1139</v>
      </c>
      <c r="W166" s="30" t="s">
        <v>1139</v>
      </c>
      <c r="X166" s="17" t="s">
        <v>9</v>
      </c>
      <c r="Y166" s="18"/>
      <c r="Z166" s="18"/>
      <c r="AA166" s="18"/>
      <c r="AB166" s="17" t="s">
        <v>427</v>
      </c>
      <c r="AC166" s="18"/>
      <c r="AD166" s="17" t="s">
        <v>1082</v>
      </c>
      <c r="AE166" s="17" t="s">
        <v>1140</v>
      </c>
      <c r="AF166" s="17"/>
      <c r="AG166" s="59"/>
      <c r="AH166" s="17" t="s">
        <v>264</v>
      </c>
      <c r="AI166" s="59"/>
      <c r="AJ166" s="59"/>
      <c r="AK166" s="59"/>
      <c r="AL166" s="92">
        <f>SUM(AM166:AQ166)</f>
        <v>247549</v>
      </c>
      <c r="AM166" s="62">
        <v>49400</v>
      </c>
      <c r="AN166" s="62">
        <v>172860</v>
      </c>
      <c r="AO166" s="62">
        <v>25289</v>
      </c>
      <c r="AP166" s="62"/>
      <c r="AQ166" s="62"/>
      <c r="AR166" s="92">
        <f t="shared" si="11"/>
        <v>247549</v>
      </c>
      <c r="AS166" s="59"/>
      <c r="AT166" s="59">
        <v>670</v>
      </c>
      <c r="AU166" s="59">
        <v>351</v>
      </c>
      <c r="AV166" s="59"/>
      <c r="AW166" s="59"/>
      <c r="AX166" s="59"/>
      <c r="AY166" s="62"/>
      <c r="AZ166" s="59"/>
      <c r="BA166" s="59"/>
      <c r="BB166" s="62"/>
      <c r="BC166" s="62"/>
      <c r="BD166" s="107">
        <v>35</v>
      </c>
      <c r="BE166" s="107"/>
      <c r="BF166" s="79">
        <v>5</v>
      </c>
      <c r="BG166" s="79">
        <v>10.5</v>
      </c>
      <c r="BH166" s="79"/>
      <c r="BI166" s="79">
        <v>12</v>
      </c>
      <c r="BJ166" s="79">
        <v>11.5</v>
      </c>
      <c r="BK166" s="79">
        <f>280/30</f>
        <v>9.3333333333333339</v>
      </c>
      <c r="BL166" s="21"/>
    </row>
    <row r="167" spans="1:64" ht="36" customHeight="1" x14ac:dyDescent="0.3">
      <c r="A167" s="15">
        <v>166</v>
      </c>
      <c r="B167" s="16" t="s">
        <v>985</v>
      </c>
      <c r="C167" s="16" t="s">
        <v>986</v>
      </c>
      <c r="D167" s="17" t="s">
        <v>397</v>
      </c>
      <c r="E167" s="21" t="s">
        <v>637</v>
      </c>
      <c r="F167" s="15" t="s">
        <v>417</v>
      </c>
      <c r="G167" s="19" t="s">
        <v>687</v>
      </c>
      <c r="H167" s="48">
        <v>100000000000</v>
      </c>
      <c r="I167" s="53"/>
      <c r="J167" s="53"/>
      <c r="K167" s="15" t="s">
        <v>242</v>
      </c>
      <c r="L167" s="17" t="s">
        <v>109</v>
      </c>
      <c r="M167" s="17" t="s">
        <v>110</v>
      </c>
      <c r="N167" s="17" t="s">
        <v>483</v>
      </c>
      <c r="O167" s="21" t="s">
        <v>42</v>
      </c>
      <c r="P167" s="17" t="s">
        <v>7</v>
      </c>
      <c r="Q167" s="76">
        <v>48377</v>
      </c>
      <c r="R167" s="76">
        <v>13758.4</v>
      </c>
      <c r="S167" s="72">
        <v>64376.21</v>
      </c>
      <c r="T167" s="58">
        <v>2</v>
      </c>
      <c r="U167" s="59">
        <v>3</v>
      </c>
      <c r="V167" s="17" t="s">
        <v>24</v>
      </c>
      <c r="W167" s="17" t="s">
        <v>24</v>
      </c>
      <c r="X167" s="17" t="s">
        <v>9</v>
      </c>
      <c r="Y167" s="18"/>
      <c r="Z167" s="17"/>
      <c r="AA167" s="18"/>
      <c r="AB167" s="21" t="s">
        <v>33</v>
      </c>
      <c r="AC167" s="21" t="s">
        <v>1207</v>
      </c>
      <c r="AD167" s="18" t="s">
        <v>1082</v>
      </c>
      <c r="AE167" s="17"/>
      <c r="AF167" s="17"/>
      <c r="AG167" s="59"/>
      <c r="AH167" s="17" t="s">
        <v>325</v>
      </c>
      <c r="AI167" s="59"/>
      <c r="AJ167" s="59"/>
      <c r="AK167" s="59"/>
      <c r="AL167" s="92"/>
      <c r="AM167" s="62"/>
      <c r="AN167" s="62"/>
      <c r="AO167" s="62"/>
      <c r="AP167" s="62"/>
      <c r="AQ167" s="62"/>
      <c r="AR167" s="92">
        <f t="shared" si="11"/>
        <v>0</v>
      </c>
      <c r="AS167" s="59"/>
      <c r="AT167" s="59"/>
      <c r="AU167" s="59"/>
      <c r="AV167" s="59"/>
      <c r="AW167" s="59"/>
      <c r="AX167" s="59"/>
      <c r="AY167" s="62"/>
      <c r="AZ167" s="59"/>
      <c r="BA167" s="59"/>
      <c r="BB167" s="62"/>
      <c r="BC167" s="62"/>
      <c r="BD167" s="106">
        <v>24</v>
      </c>
      <c r="BE167" s="107"/>
      <c r="BF167" s="79"/>
      <c r="BG167" s="107">
        <f>180/30</f>
        <v>6</v>
      </c>
      <c r="BH167" s="107">
        <f>247/30</f>
        <v>8.2333333333333325</v>
      </c>
      <c r="BI167" s="107">
        <f>263/30</f>
        <v>8.7666666666666675</v>
      </c>
      <c r="BJ167" s="107">
        <f>160/30</f>
        <v>5.333333333333333</v>
      </c>
      <c r="BK167" s="107">
        <f>204/30</f>
        <v>6.8</v>
      </c>
      <c r="BL167" s="21" t="s">
        <v>68</v>
      </c>
    </row>
    <row r="168" spans="1:64" ht="36" customHeight="1" x14ac:dyDescent="0.3">
      <c r="A168" s="15">
        <v>167</v>
      </c>
      <c r="B168" s="16" t="s">
        <v>987</v>
      </c>
      <c r="C168" s="15"/>
      <c r="D168" s="17">
        <v>2024</v>
      </c>
      <c r="E168" s="21" t="s">
        <v>381</v>
      </c>
      <c r="F168" s="21" t="s">
        <v>249</v>
      </c>
      <c r="G168" s="44" t="s">
        <v>687</v>
      </c>
      <c r="H168" s="48">
        <v>95800000000</v>
      </c>
      <c r="I168" s="53"/>
      <c r="J168" s="53"/>
      <c r="K168" s="21" t="s">
        <v>242</v>
      </c>
      <c r="L168" s="17" t="s">
        <v>150</v>
      </c>
      <c r="M168" s="17" t="s">
        <v>36</v>
      </c>
      <c r="N168" s="17" t="s">
        <v>484</v>
      </c>
      <c r="O168" s="17" t="s">
        <v>42</v>
      </c>
      <c r="P168" s="17" t="s">
        <v>4</v>
      </c>
      <c r="Q168" s="72"/>
      <c r="R168" s="72"/>
      <c r="S168" s="72"/>
      <c r="T168" s="48">
        <v>0</v>
      </c>
      <c r="U168" s="59">
        <v>4</v>
      </c>
      <c r="V168" s="15"/>
      <c r="W168" s="15"/>
      <c r="X168" s="17" t="s">
        <v>9</v>
      </c>
      <c r="Y168" s="18"/>
      <c r="Z168" s="18"/>
      <c r="AA168" s="18"/>
      <c r="AB168" s="17" t="s">
        <v>427</v>
      </c>
      <c r="AC168" s="18"/>
      <c r="AD168" s="17"/>
      <c r="AE168" s="17"/>
      <c r="AF168" s="17"/>
      <c r="AG168" s="59"/>
      <c r="AH168" s="18"/>
      <c r="AI168" s="85"/>
      <c r="AJ168" s="85"/>
      <c r="AK168" s="85"/>
      <c r="AL168" s="92"/>
      <c r="AM168" s="62"/>
      <c r="AN168" s="62"/>
      <c r="AO168" s="62"/>
      <c r="AP168" s="62"/>
      <c r="AQ168" s="62"/>
      <c r="AR168" s="92">
        <f t="shared" si="11"/>
        <v>0</v>
      </c>
      <c r="AS168" s="85"/>
      <c r="AT168" s="85"/>
      <c r="AU168" s="85"/>
      <c r="AV168" s="85"/>
      <c r="AW168" s="85"/>
      <c r="AX168" s="85"/>
      <c r="AY168" s="92"/>
      <c r="AZ168" s="85"/>
      <c r="BA168" s="85"/>
      <c r="BB168" s="92"/>
      <c r="BC168" s="92"/>
      <c r="BD168" s="107">
        <v>17</v>
      </c>
      <c r="BE168" s="107"/>
      <c r="BF168" s="79"/>
      <c r="BG168" s="79">
        <v>3.7</v>
      </c>
      <c r="BH168" s="79"/>
      <c r="BI168" s="79">
        <v>8</v>
      </c>
      <c r="BJ168" s="79">
        <f>120/30</f>
        <v>4</v>
      </c>
      <c r="BK168" s="79">
        <f>150/30</f>
        <v>5</v>
      </c>
      <c r="BL168" s="17"/>
    </row>
    <row r="169" spans="1:64" ht="36" customHeight="1" x14ac:dyDescent="0.3">
      <c r="A169" s="15">
        <v>168</v>
      </c>
      <c r="B169" s="16" t="s">
        <v>988</v>
      </c>
      <c r="C169" s="15"/>
      <c r="D169" s="17">
        <v>2024</v>
      </c>
      <c r="E169" s="21" t="s">
        <v>380</v>
      </c>
      <c r="F169" s="21" t="s">
        <v>490</v>
      </c>
      <c r="G169" s="44" t="s">
        <v>687</v>
      </c>
      <c r="H169" s="48">
        <v>55400000000</v>
      </c>
      <c r="I169" s="53"/>
      <c r="J169" s="53"/>
      <c r="K169" s="21" t="s">
        <v>242</v>
      </c>
      <c r="L169" s="17" t="s">
        <v>489</v>
      </c>
      <c r="M169" s="17" t="s">
        <v>36</v>
      </c>
      <c r="N169" s="17" t="s">
        <v>199</v>
      </c>
      <c r="O169" s="17" t="s">
        <v>42</v>
      </c>
      <c r="P169" s="17" t="s">
        <v>31</v>
      </c>
      <c r="Q169" s="76"/>
      <c r="R169" s="76">
        <v>1419</v>
      </c>
      <c r="S169" s="72">
        <v>22926</v>
      </c>
      <c r="T169" s="58">
        <v>2</v>
      </c>
      <c r="U169" s="59">
        <v>20</v>
      </c>
      <c r="V169" s="17" t="s">
        <v>16</v>
      </c>
      <c r="W169" s="30" t="s">
        <v>16</v>
      </c>
      <c r="X169" s="17" t="s">
        <v>9</v>
      </c>
      <c r="Y169" s="18"/>
      <c r="Z169" s="18"/>
      <c r="AA169" s="18"/>
      <c r="AB169" s="17" t="s">
        <v>33</v>
      </c>
      <c r="AC169" s="18" t="s">
        <v>1199</v>
      </c>
      <c r="AD169" s="17"/>
      <c r="AE169" s="17"/>
      <c r="AF169" s="17"/>
      <c r="AG169" s="59"/>
      <c r="AH169" s="18"/>
      <c r="AI169" s="85"/>
      <c r="AJ169" s="85"/>
      <c r="AK169" s="85"/>
      <c r="AL169" s="92"/>
      <c r="AM169" s="62"/>
      <c r="AN169" s="62"/>
      <c r="AO169" s="62"/>
      <c r="AP169" s="62"/>
      <c r="AQ169" s="62"/>
      <c r="AR169" s="92">
        <f t="shared" si="11"/>
        <v>0</v>
      </c>
      <c r="AS169" s="85"/>
      <c r="AT169" s="85"/>
      <c r="AU169" s="85"/>
      <c r="AV169" s="85"/>
      <c r="AW169" s="85"/>
      <c r="AX169" s="85"/>
      <c r="AY169" s="92"/>
      <c r="AZ169" s="85"/>
      <c r="BA169" s="85"/>
      <c r="BB169" s="92"/>
      <c r="BC169" s="92"/>
      <c r="BD169" s="107">
        <v>30</v>
      </c>
      <c r="BE169" s="107"/>
      <c r="BF169" s="79"/>
      <c r="BG169" s="79">
        <v>6</v>
      </c>
      <c r="BH169" s="79"/>
      <c r="BI169" s="79">
        <v>18</v>
      </c>
      <c r="BJ169" s="79">
        <v>12</v>
      </c>
      <c r="BK169" s="79">
        <v>15</v>
      </c>
      <c r="BL169" s="21"/>
    </row>
    <row r="170" spans="1:64" ht="36" customHeight="1" x14ac:dyDescent="0.3">
      <c r="A170" s="15">
        <v>169</v>
      </c>
      <c r="B170" s="16" t="s">
        <v>989</v>
      </c>
      <c r="C170" s="15"/>
      <c r="D170" s="17">
        <v>2024</v>
      </c>
      <c r="E170" s="21" t="s">
        <v>414</v>
      </c>
      <c r="F170" s="15" t="s">
        <v>415</v>
      </c>
      <c r="G170" s="19" t="s">
        <v>687</v>
      </c>
      <c r="H170" s="48">
        <v>41000000000</v>
      </c>
      <c r="I170" s="53"/>
      <c r="J170" s="53"/>
      <c r="K170" s="15" t="s">
        <v>242</v>
      </c>
      <c r="L170" s="17" t="s">
        <v>109</v>
      </c>
      <c r="M170" s="17" t="s">
        <v>416</v>
      </c>
      <c r="N170" s="17" t="s">
        <v>483</v>
      </c>
      <c r="O170" s="21" t="s">
        <v>42</v>
      </c>
      <c r="P170" s="17" t="s">
        <v>7</v>
      </c>
      <c r="Q170" s="76">
        <v>28236</v>
      </c>
      <c r="R170" s="76">
        <v>11250.66</v>
      </c>
      <c r="S170" s="72">
        <v>36259.75</v>
      </c>
      <c r="T170" s="58">
        <v>1</v>
      </c>
      <c r="U170" s="59">
        <v>4</v>
      </c>
      <c r="V170" s="17" t="s">
        <v>16</v>
      </c>
      <c r="W170" s="17" t="s">
        <v>24</v>
      </c>
      <c r="X170" s="17" t="s">
        <v>9</v>
      </c>
      <c r="Y170" s="17" t="s">
        <v>62</v>
      </c>
      <c r="Z170" s="18"/>
      <c r="AA170" s="18"/>
      <c r="AB170" s="21" t="s">
        <v>33</v>
      </c>
      <c r="AC170" s="18" t="s">
        <v>1079</v>
      </c>
      <c r="AD170" s="18" t="s">
        <v>1082</v>
      </c>
      <c r="AE170" s="17"/>
      <c r="AF170" s="17"/>
      <c r="AG170" s="59"/>
      <c r="AH170" s="17" t="s">
        <v>325</v>
      </c>
      <c r="AI170" s="59"/>
      <c r="AJ170" s="59"/>
      <c r="AK170" s="59"/>
      <c r="AL170" s="92"/>
      <c r="AM170" s="62"/>
      <c r="AN170" s="62"/>
      <c r="AO170" s="62"/>
      <c r="AP170" s="62"/>
      <c r="AQ170" s="62"/>
      <c r="AR170" s="92">
        <f t="shared" si="11"/>
        <v>0</v>
      </c>
      <c r="AS170" s="59"/>
      <c r="AT170" s="59"/>
      <c r="AU170" s="59"/>
      <c r="AV170" s="59"/>
      <c r="AW170" s="59"/>
      <c r="AX170" s="59"/>
      <c r="AY170" s="62"/>
      <c r="AZ170" s="59"/>
      <c r="BA170" s="59"/>
      <c r="BB170" s="62"/>
      <c r="BC170" s="62"/>
      <c r="BD170" s="106">
        <v>20</v>
      </c>
      <c r="BE170" s="106"/>
      <c r="BF170" s="79"/>
      <c r="BG170" s="107">
        <f>105/30</f>
        <v>3.5</v>
      </c>
      <c r="BH170" s="107">
        <f>296/30</f>
        <v>9.8666666666666671</v>
      </c>
      <c r="BI170" s="107">
        <f>243/30</f>
        <v>8.1</v>
      </c>
      <c r="BJ170" s="107">
        <f>120/30</f>
        <v>4</v>
      </c>
      <c r="BK170" s="107">
        <f>166/30</f>
        <v>5.5333333333333332</v>
      </c>
      <c r="BL170" s="21" t="s">
        <v>68</v>
      </c>
    </row>
    <row r="171" spans="1:64" ht="36" customHeight="1" x14ac:dyDescent="0.3">
      <c r="A171" s="15">
        <v>170</v>
      </c>
      <c r="B171" s="16" t="s">
        <v>1029</v>
      </c>
      <c r="C171" s="15"/>
      <c r="D171" s="17">
        <v>2024</v>
      </c>
      <c r="E171" s="21" t="s">
        <v>705</v>
      </c>
      <c r="F171" s="21" t="s">
        <v>247</v>
      </c>
      <c r="G171" s="19" t="s">
        <v>687</v>
      </c>
      <c r="H171" s="53"/>
      <c r="I171" s="53"/>
      <c r="J171" s="53"/>
      <c r="K171" s="15" t="s">
        <v>242</v>
      </c>
      <c r="L171" s="17" t="s">
        <v>93</v>
      </c>
      <c r="M171" s="17" t="s">
        <v>100</v>
      </c>
      <c r="N171" s="17" t="s">
        <v>199</v>
      </c>
      <c r="O171" s="21" t="s">
        <v>42</v>
      </c>
      <c r="P171" s="17" t="s">
        <v>4</v>
      </c>
      <c r="Q171" s="76">
        <v>1210</v>
      </c>
      <c r="R171" s="72">
        <v>725.23</v>
      </c>
      <c r="S171" s="72">
        <v>17658</v>
      </c>
      <c r="T171" s="58">
        <v>7</v>
      </c>
      <c r="U171" s="59">
        <v>19</v>
      </c>
      <c r="V171" s="17" t="s">
        <v>18</v>
      </c>
      <c r="W171" s="17" t="s">
        <v>18</v>
      </c>
      <c r="X171" s="17" t="s">
        <v>64</v>
      </c>
      <c r="Y171" s="17" t="s">
        <v>62</v>
      </c>
      <c r="Z171" s="17" t="s">
        <v>41</v>
      </c>
      <c r="AA171" s="17" t="s">
        <v>41</v>
      </c>
      <c r="AB171" s="18" t="s">
        <v>1199</v>
      </c>
      <c r="AC171" s="18"/>
      <c r="AD171" s="21" t="s">
        <v>267</v>
      </c>
      <c r="AE171" s="18" t="s">
        <v>265</v>
      </c>
      <c r="AF171" s="18"/>
      <c r="AG171" s="85"/>
      <c r="AH171" s="17" t="s">
        <v>264</v>
      </c>
      <c r="AI171" s="59"/>
      <c r="AJ171" s="59"/>
      <c r="AK171" s="59"/>
      <c r="AL171" s="92"/>
      <c r="AM171" s="62"/>
      <c r="AN171" s="62"/>
      <c r="AO171" s="62"/>
      <c r="AP171" s="62"/>
      <c r="AQ171" s="62"/>
      <c r="AR171" s="92">
        <f t="shared" si="11"/>
        <v>0</v>
      </c>
      <c r="AS171" s="59"/>
      <c r="AT171" s="59"/>
      <c r="AU171" s="59"/>
      <c r="AV171" s="59"/>
      <c r="AW171" s="59"/>
      <c r="AX171" s="59"/>
      <c r="AY171" s="62"/>
      <c r="AZ171" s="59"/>
      <c r="BA171" s="59"/>
      <c r="BB171" s="62"/>
      <c r="BC171" s="62"/>
      <c r="BD171" s="106">
        <v>45</v>
      </c>
      <c r="BE171" s="107"/>
      <c r="BF171" s="79"/>
      <c r="BG171" s="107">
        <v>18.5</v>
      </c>
      <c r="BH171" s="79"/>
      <c r="BI171" s="107">
        <v>30.5</v>
      </c>
      <c r="BJ171" s="107">
        <f>260/30</f>
        <v>8.6666666666666661</v>
      </c>
      <c r="BK171" s="107">
        <f>320/30</f>
        <v>10.666666666666666</v>
      </c>
      <c r="BL171" s="21"/>
    </row>
    <row r="172" spans="1:64" ht="36" customHeight="1" x14ac:dyDescent="0.3">
      <c r="A172" s="15">
        <v>171</v>
      </c>
      <c r="B172" s="16" t="s">
        <v>1029</v>
      </c>
      <c r="C172" s="15"/>
      <c r="D172" s="17">
        <v>2024</v>
      </c>
      <c r="E172" s="21" t="s">
        <v>706</v>
      </c>
      <c r="F172" s="21" t="s">
        <v>247</v>
      </c>
      <c r="G172" s="19" t="s">
        <v>687</v>
      </c>
      <c r="H172" s="53"/>
      <c r="I172" s="53"/>
      <c r="J172" s="53"/>
      <c r="K172" s="18" t="s">
        <v>36</v>
      </c>
      <c r="L172" s="17" t="s">
        <v>36</v>
      </c>
      <c r="M172" s="17" t="s">
        <v>36</v>
      </c>
      <c r="N172" s="17" t="s">
        <v>36</v>
      </c>
      <c r="O172" s="21" t="s">
        <v>42</v>
      </c>
      <c r="P172" s="17" t="s">
        <v>4</v>
      </c>
      <c r="Q172" s="76">
        <v>1210</v>
      </c>
      <c r="R172" s="72">
        <v>725.23</v>
      </c>
      <c r="S172" s="72">
        <v>17658</v>
      </c>
      <c r="T172" s="58">
        <v>7</v>
      </c>
      <c r="U172" s="59">
        <v>19</v>
      </c>
      <c r="V172" s="17" t="s">
        <v>18</v>
      </c>
      <c r="W172" s="17" t="s">
        <v>18</v>
      </c>
      <c r="X172" s="17" t="s">
        <v>64</v>
      </c>
      <c r="Y172" s="17" t="s">
        <v>62</v>
      </c>
      <c r="Z172" s="21" t="s">
        <v>1074</v>
      </c>
      <c r="AA172" s="17" t="s">
        <v>41</v>
      </c>
      <c r="AB172" s="18" t="s">
        <v>1199</v>
      </c>
      <c r="AC172" s="18"/>
      <c r="AD172" s="21" t="s">
        <v>267</v>
      </c>
      <c r="AE172" s="18" t="s">
        <v>265</v>
      </c>
      <c r="AF172" s="18"/>
      <c r="AG172" s="85"/>
      <c r="AH172" s="17" t="s">
        <v>264</v>
      </c>
      <c r="AI172" s="59"/>
      <c r="AJ172" s="59"/>
      <c r="AK172" s="59"/>
      <c r="AL172" s="92"/>
      <c r="AM172" s="62"/>
      <c r="AN172" s="62"/>
      <c r="AO172" s="62"/>
      <c r="AP172" s="62"/>
      <c r="AQ172" s="62"/>
      <c r="AR172" s="92">
        <f t="shared" si="11"/>
        <v>0</v>
      </c>
      <c r="AS172" s="59"/>
      <c r="AT172" s="59"/>
      <c r="AU172" s="59"/>
      <c r="AV172" s="59"/>
      <c r="AW172" s="59"/>
      <c r="AX172" s="59"/>
      <c r="AY172" s="62"/>
      <c r="AZ172" s="59"/>
      <c r="BA172" s="59"/>
      <c r="BB172" s="62"/>
      <c r="BC172" s="62"/>
      <c r="BD172" s="106">
        <v>36</v>
      </c>
      <c r="BE172" s="107"/>
      <c r="BF172" s="79"/>
      <c r="BG172" s="107">
        <v>18.5</v>
      </c>
      <c r="BH172" s="79"/>
      <c r="BI172" s="107">
        <v>22</v>
      </c>
      <c r="BJ172" s="107">
        <f>260/30</f>
        <v>8.6666666666666661</v>
      </c>
      <c r="BK172" s="107">
        <f>315/30</f>
        <v>10.5</v>
      </c>
      <c r="BL172" s="21"/>
    </row>
    <row r="173" spans="1:64" ht="36" customHeight="1" x14ac:dyDescent="0.3">
      <c r="A173" s="15">
        <v>172</v>
      </c>
      <c r="B173" s="16" t="s">
        <v>990</v>
      </c>
      <c r="C173" s="16" t="s">
        <v>991</v>
      </c>
      <c r="D173" s="17">
        <v>2024</v>
      </c>
      <c r="E173" s="17" t="s">
        <v>638</v>
      </c>
      <c r="F173" s="15" t="s">
        <v>413</v>
      </c>
      <c r="G173" s="19" t="s">
        <v>35</v>
      </c>
      <c r="H173" s="48">
        <v>118720000000</v>
      </c>
      <c r="I173" s="53"/>
      <c r="J173" s="53"/>
      <c r="K173" s="15" t="s">
        <v>242</v>
      </c>
      <c r="L173" s="17" t="s">
        <v>84</v>
      </c>
      <c r="M173" s="17" t="s">
        <v>193</v>
      </c>
      <c r="N173" s="17" t="s">
        <v>90</v>
      </c>
      <c r="O173" s="17" t="s">
        <v>42</v>
      </c>
      <c r="P173" s="17" t="s">
        <v>7</v>
      </c>
      <c r="Q173" s="76">
        <v>24023.4</v>
      </c>
      <c r="R173" s="72">
        <v>14318.29</v>
      </c>
      <c r="S173" s="72">
        <v>98970.8</v>
      </c>
      <c r="T173" s="58">
        <v>3</v>
      </c>
      <c r="U173" s="59">
        <v>5</v>
      </c>
      <c r="V173" s="30" t="s">
        <v>24</v>
      </c>
      <c r="W173" s="30" t="s">
        <v>24</v>
      </c>
      <c r="X173" s="17" t="s">
        <v>9</v>
      </c>
      <c r="Y173" s="17" t="s">
        <v>61</v>
      </c>
      <c r="Z173" s="17"/>
      <c r="AA173" s="18"/>
      <c r="AB173" s="21" t="s">
        <v>1196</v>
      </c>
      <c r="AC173" s="21" t="s">
        <v>1063</v>
      </c>
      <c r="AD173" s="18" t="s">
        <v>1082</v>
      </c>
      <c r="AE173" s="17"/>
      <c r="AF173" s="17"/>
      <c r="AG173" s="59"/>
      <c r="AH173" s="17" t="s">
        <v>264</v>
      </c>
      <c r="AI173" s="59"/>
      <c r="AJ173" s="59"/>
      <c r="AK173" s="59"/>
      <c r="AL173" s="92"/>
      <c r="AM173" s="62"/>
      <c r="AN173" s="62"/>
      <c r="AO173" s="62"/>
      <c r="AP173" s="62"/>
      <c r="AQ173" s="62"/>
      <c r="AR173" s="92">
        <f t="shared" si="11"/>
        <v>0</v>
      </c>
      <c r="AS173" s="59"/>
      <c r="AT173" s="59"/>
      <c r="AU173" s="59"/>
      <c r="AV173" s="59"/>
      <c r="AW173" s="59"/>
      <c r="AX173" s="59"/>
      <c r="AY173" s="62"/>
      <c r="AZ173" s="59"/>
      <c r="BA173" s="59"/>
      <c r="BB173" s="62"/>
      <c r="BC173" s="62"/>
      <c r="BD173" s="107">
        <v>21</v>
      </c>
      <c r="BE173" s="107"/>
      <c r="BF173" s="79"/>
      <c r="BG173" s="107">
        <v>1</v>
      </c>
      <c r="BH173" s="107">
        <f>334/30</f>
        <v>11.133333333333333</v>
      </c>
      <c r="BI173" s="107">
        <f>315/30</f>
        <v>10.5</v>
      </c>
      <c r="BJ173" s="107">
        <f>180/30</f>
        <v>6</v>
      </c>
      <c r="BK173" s="107">
        <f>245/30</f>
        <v>8.1666666666666661</v>
      </c>
      <c r="BL173" s="17"/>
    </row>
    <row r="174" spans="1:64" ht="36" customHeight="1" x14ac:dyDescent="0.3">
      <c r="A174" s="15">
        <v>173</v>
      </c>
      <c r="B174" s="16" t="s">
        <v>992</v>
      </c>
      <c r="C174" s="16" t="s">
        <v>993</v>
      </c>
      <c r="D174" s="17">
        <v>2025</v>
      </c>
      <c r="E174" s="17" t="s">
        <v>639</v>
      </c>
      <c r="F174" s="17" t="s">
        <v>234</v>
      </c>
      <c r="G174" s="19" t="s">
        <v>35</v>
      </c>
      <c r="H174" s="48">
        <v>124390000000</v>
      </c>
      <c r="I174" s="53"/>
      <c r="J174" s="53"/>
      <c r="K174" s="15" t="s">
        <v>242</v>
      </c>
      <c r="L174" s="17" t="s">
        <v>84</v>
      </c>
      <c r="M174" s="17" t="s">
        <v>107</v>
      </c>
      <c r="N174" s="17" t="s">
        <v>90</v>
      </c>
      <c r="O174" s="17" t="s">
        <v>42</v>
      </c>
      <c r="P174" s="17" t="s">
        <v>7</v>
      </c>
      <c r="Q174" s="76">
        <v>26183.7</v>
      </c>
      <c r="R174" s="72">
        <v>20747.87</v>
      </c>
      <c r="S174" s="72">
        <v>120501.98</v>
      </c>
      <c r="T174" s="58">
        <v>2</v>
      </c>
      <c r="U174" s="59">
        <v>5</v>
      </c>
      <c r="V174" s="30" t="s">
        <v>16</v>
      </c>
      <c r="W174" s="46" t="s">
        <v>24</v>
      </c>
      <c r="X174" s="17" t="s">
        <v>9</v>
      </c>
      <c r="Y174" s="17" t="s">
        <v>62</v>
      </c>
      <c r="Z174" s="18"/>
      <c r="AA174" s="18"/>
      <c r="AB174" s="21" t="s">
        <v>1199</v>
      </c>
      <c r="AC174" s="21" t="s">
        <v>1069</v>
      </c>
      <c r="AD174" s="18" t="s">
        <v>1082</v>
      </c>
      <c r="AE174" s="17"/>
      <c r="AF174" s="17"/>
      <c r="AG174" s="59"/>
      <c r="AH174" s="17" t="s">
        <v>264</v>
      </c>
      <c r="AI174" s="59"/>
      <c r="AJ174" s="59"/>
      <c r="AK174" s="59"/>
      <c r="AL174" s="92"/>
      <c r="AM174" s="62"/>
      <c r="AN174" s="62"/>
      <c r="AO174" s="62"/>
      <c r="AP174" s="62"/>
      <c r="AQ174" s="62"/>
      <c r="AR174" s="92">
        <f t="shared" si="11"/>
        <v>0</v>
      </c>
      <c r="AS174" s="59"/>
      <c r="AT174" s="59"/>
      <c r="AU174" s="59"/>
      <c r="AV174" s="59"/>
      <c r="AW174" s="59"/>
      <c r="AX174" s="59"/>
      <c r="AY174" s="62"/>
      <c r="AZ174" s="59"/>
      <c r="BA174" s="59"/>
      <c r="BB174" s="62"/>
      <c r="BC174" s="62"/>
      <c r="BD174" s="107">
        <v>27</v>
      </c>
      <c r="BE174" s="107"/>
      <c r="BF174" s="79"/>
      <c r="BG174" s="107">
        <f>245/30</f>
        <v>8.1666666666666661</v>
      </c>
      <c r="BH174" s="107">
        <f>461/30</f>
        <v>15.366666666666667</v>
      </c>
      <c r="BI174" s="107">
        <f>490/30</f>
        <v>16.333333333333332</v>
      </c>
      <c r="BJ174" s="107">
        <f>290/30</f>
        <v>9.6666666666666661</v>
      </c>
      <c r="BK174" s="107">
        <f>257/30</f>
        <v>8.5666666666666664</v>
      </c>
      <c r="BL174" s="21"/>
    </row>
    <row r="175" spans="1:64" ht="36" customHeight="1" x14ac:dyDescent="0.3">
      <c r="A175" s="15">
        <v>174</v>
      </c>
      <c r="B175" s="16" t="s">
        <v>994</v>
      </c>
      <c r="C175" s="16" t="s">
        <v>995</v>
      </c>
      <c r="D175" s="17">
        <v>2025</v>
      </c>
      <c r="E175" s="17" t="s">
        <v>640</v>
      </c>
      <c r="F175" s="17" t="s">
        <v>234</v>
      </c>
      <c r="G175" s="19" t="s">
        <v>35</v>
      </c>
      <c r="H175" s="48">
        <v>110030000000</v>
      </c>
      <c r="I175" s="53"/>
      <c r="J175" s="53"/>
      <c r="K175" s="15" t="s">
        <v>242</v>
      </c>
      <c r="L175" s="17" t="s">
        <v>84</v>
      </c>
      <c r="M175" s="17" t="s">
        <v>107</v>
      </c>
      <c r="N175" s="17" t="s">
        <v>90</v>
      </c>
      <c r="O175" s="17" t="s">
        <v>42</v>
      </c>
      <c r="P175" s="17" t="s">
        <v>7</v>
      </c>
      <c r="Q175" s="76">
        <v>18894.599999999999</v>
      </c>
      <c r="R175" s="72">
        <v>14628.8</v>
      </c>
      <c r="S175" s="72">
        <v>70836.52</v>
      </c>
      <c r="T175" s="58">
        <v>1</v>
      </c>
      <c r="U175" s="59">
        <v>5</v>
      </c>
      <c r="V175" s="17" t="s">
        <v>16</v>
      </c>
      <c r="W175" s="46" t="s">
        <v>24</v>
      </c>
      <c r="X175" s="17" t="s">
        <v>9</v>
      </c>
      <c r="Y175" s="17" t="s">
        <v>62</v>
      </c>
      <c r="Z175" s="17"/>
      <c r="AA175" s="18"/>
      <c r="AB175" s="21" t="s">
        <v>33</v>
      </c>
      <c r="AC175" s="21" t="s">
        <v>1069</v>
      </c>
      <c r="AD175" s="18" t="s">
        <v>1082</v>
      </c>
      <c r="AE175" s="17" t="s">
        <v>1106</v>
      </c>
      <c r="AF175" s="17"/>
      <c r="AG175" s="59"/>
      <c r="AH175" s="17" t="s">
        <v>264</v>
      </c>
      <c r="AI175" s="59"/>
      <c r="AJ175" s="59"/>
      <c r="AK175" s="59"/>
      <c r="AL175" s="92"/>
      <c r="AM175" s="62"/>
      <c r="AN175" s="62"/>
      <c r="AO175" s="62"/>
      <c r="AP175" s="62"/>
      <c r="AQ175" s="62"/>
      <c r="AR175" s="92">
        <f t="shared" si="11"/>
        <v>0</v>
      </c>
      <c r="AS175" s="59"/>
      <c r="AT175" s="59"/>
      <c r="AU175" s="59"/>
      <c r="AV175" s="59"/>
      <c r="AW175" s="59"/>
      <c r="AX175" s="59"/>
      <c r="AY175" s="62"/>
      <c r="AZ175" s="59"/>
      <c r="BA175" s="59"/>
      <c r="BB175" s="62"/>
      <c r="BC175" s="62"/>
      <c r="BD175" s="107">
        <v>23</v>
      </c>
      <c r="BE175" s="107"/>
      <c r="BF175" s="79"/>
      <c r="BG175" s="107">
        <f>108/30</f>
        <v>3.6</v>
      </c>
      <c r="BH175" s="107">
        <f>342/30</f>
        <v>11.4</v>
      </c>
      <c r="BI175" s="107">
        <f>327/30</f>
        <v>10.9</v>
      </c>
      <c r="BJ175" s="107">
        <f>180/30</f>
        <v>6</v>
      </c>
      <c r="BK175" s="107">
        <f>273/30</f>
        <v>9.1</v>
      </c>
      <c r="BL175" s="21"/>
    </row>
    <row r="176" spans="1:64" ht="36" customHeight="1" x14ac:dyDescent="0.3">
      <c r="A176" s="15">
        <v>175</v>
      </c>
      <c r="B176" s="16" t="s">
        <v>1027</v>
      </c>
      <c r="C176" s="15"/>
      <c r="D176" s="17">
        <v>2025</v>
      </c>
      <c r="E176" s="17" t="s">
        <v>641</v>
      </c>
      <c r="F176" s="17" t="s">
        <v>246</v>
      </c>
      <c r="G176" s="19" t="s">
        <v>687</v>
      </c>
      <c r="H176" s="48">
        <v>380000000000</v>
      </c>
      <c r="I176" s="53"/>
      <c r="J176" s="53"/>
      <c r="K176" s="17" t="s">
        <v>242</v>
      </c>
      <c r="L176" s="17" t="s">
        <v>84</v>
      </c>
      <c r="M176" s="17" t="s">
        <v>85</v>
      </c>
      <c r="N176" s="17" t="s">
        <v>488</v>
      </c>
      <c r="O176" s="17" t="s">
        <v>42</v>
      </c>
      <c r="P176" s="17" t="s">
        <v>7</v>
      </c>
      <c r="Q176" s="76">
        <v>59231.1</v>
      </c>
      <c r="R176" s="72">
        <v>41048.129999999997</v>
      </c>
      <c r="S176" s="72">
        <v>326506.34999999998</v>
      </c>
      <c r="T176" s="58">
        <v>1</v>
      </c>
      <c r="U176" s="59">
        <v>10</v>
      </c>
      <c r="V176" s="17" t="s">
        <v>16</v>
      </c>
      <c r="W176" s="46" t="s">
        <v>24</v>
      </c>
      <c r="X176" s="17" t="s">
        <v>9</v>
      </c>
      <c r="Y176" s="17" t="s">
        <v>61</v>
      </c>
      <c r="Z176" s="17"/>
      <c r="AA176" s="18"/>
      <c r="AB176" s="21" t="s">
        <v>33</v>
      </c>
      <c r="AC176" s="21" t="s">
        <v>1070</v>
      </c>
      <c r="AD176" s="18" t="s">
        <v>1082</v>
      </c>
      <c r="AE176" s="17" t="s">
        <v>411</v>
      </c>
      <c r="AF176" s="17"/>
      <c r="AG176" s="59"/>
      <c r="AH176" s="17" t="s">
        <v>285</v>
      </c>
      <c r="AI176" s="59"/>
      <c r="AJ176" s="59"/>
      <c r="AK176" s="59"/>
      <c r="AL176" s="92"/>
      <c r="AM176" s="62"/>
      <c r="AN176" s="62"/>
      <c r="AO176" s="62"/>
      <c r="AP176" s="62"/>
      <c r="AQ176" s="62"/>
      <c r="AR176" s="92">
        <f t="shared" si="11"/>
        <v>0</v>
      </c>
      <c r="AS176" s="59"/>
      <c r="AT176" s="59"/>
      <c r="AU176" s="59"/>
      <c r="AV176" s="59"/>
      <c r="AW176" s="59"/>
      <c r="AX176" s="59"/>
      <c r="AY176" s="62"/>
      <c r="AZ176" s="59"/>
      <c r="BA176" s="59"/>
      <c r="BB176" s="62"/>
      <c r="BC176" s="62"/>
      <c r="BD176" s="107">
        <v>30</v>
      </c>
      <c r="BE176" s="106"/>
      <c r="BF176" s="79"/>
      <c r="BG176" s="107">
        <f>105/30</f>
        <v>3.5</v>
      </c>
      <c r="BH176" s="107">
        <f>549/30</f>
        <v>18.3</v>
      </c>
      <c r="BI176" s="107">
        <f>433/30</f>
        <v>14.433333333333334</v>
      </c>
      <c r="BJ176" s="107">
        <f>220/30</f>
        <v>7.333333333333333</v>
      </c>
      <c r="BK176" s="107">
        <f>303/30</f>
        <v>10.1</v>
      </c>
      <c r="BL176" s="21" t="s">
        <v>412</v>
      </c>
    </row>
    <row r="177" spans="1:64" ht="36" customHeight="1" x14ac:dyDescent="0.3">
      <c r="A177" s="15">
        <v>176</v>
      </c>
      <c r="B177" s="16" t="s">
        <v>1028</v>
      </c>
      <c r="C177" s="15"/>
      <c r="D177" s="17">
        <v>2024</v>
      </c>
      <c r="E177" s="21" t="s">
        <v>379</v>
      </c>
      <c r="F177" s="21" t="s">
        <v>397</v>
      </c>
      <c r="G177" s="44" t="s">
        <v>687</v>
      </c>
      <c r="H177" s="53"/>
      <c r="I177" s="53"/>
      <c r="J177" s="53"/>
      <c r="K177" s="21" t="s">
        <v>242</v>
      </c>
      <c r="L177" s="17" t="s">
        <v>93</v>
      </c>
      <c r="M177" s="17" t="s">
        <v>102</v>
      </c>
      <c r="N177" s="17" t="s">
        <v>199</v>
      </c>
      <c r="O177" s="17" t="s">
        <v>42</v>
      </c>
      <c r="P177" s="17" t="s">
        <v>4</v>
      </c>
      <c r="Q177" s="76"/>
      <c r="R177" s="76">
        <v>1666</v>
      </c>
      <c r="S177" s="72">
        <v>47278.77</v>
      </c>
      <c r="T177" s="58">
        <v>8</v>
      </c>
      <c r="U177" s="59">
        <v>20</v>
      </c>
      <c r="V177" s="17" t="s">
        <v>18</v>
      </c>
      <c r="W177" s="17" t="s">
        <v>18</v>
      </c>
      <c r="X177" s="17" t="s">
        <v>64</v>
      </c>
      <c r="Y177" s="18"/>
      <c r="Z177" s="21" t="s">
        <v>1074</v>
      </c>
      <c r="AA177" s="17" t="s">
        <v>41</v>
      </c>
      <c r="AB177" s="17" t="s">
        <v>45</v>
      </c>
      <c r="AC177" s="18"/>
      <c r="AD177" s="17"/>
      <c r="AE177" s="17"/>
      <c r="AF177" s="17"/>
      <c r="AG177" s="59"/>
      <c r="AH177" s="18"/>
      <c r="AI177" s="85"/>
      <c r="AJ177" s="85"/>
      <c r="AK177" s="85"/>
      <c r="AL177" s="92"/>
      <c r="AM177" s="62"/>
      <c r="AN177" s="62"/>
      <c r="AO177" s="62"/>
      <c r="AP177" s="62"/>
      <c r="AQ177" s="62"/>
      <c r="AR177" s="92">
        <f t="shared" si="11"/>
        <v>0</v>
      </c>
      <c r="AS177" s="85"/>
      <c r="AT177" s="85"/>
      <c r="AU177" s="85"/>
      <c r="AV177" s="85"/>
      <c r="AW177" s="85"/>
      <c r="AX177" s="85"/>
      <c r="AY177" s="92"/>
      <c r="AZ177" s="85"/>
      <c r="BA177" s="85"/>
      <c r="BB177" s="92"/>
      <c r="BC177" s="92"/>
      <c r="BD177" s="107">
        <v>52</v>
      </c>
      <c r="BE177" s="107"/>
      <c r="BF177" s="79">
        <f>495/30</f>
        <v>16.5</v>
      </c>
      <c r="BG177" s="79">
        <f>773/30</f>
        <v>25.766666666666666</v>
      </c>
      <c r="BH177" s="79"/>
      <c r="BI177" s="79">
        <f>819/30</f>
        <v>27.3</v>
      </c>
      <c r="BJ177" s="79">
        <f>260/30</f>
        <v>8.6666666666666661</v>
      </c>
      <c r="BK177" s="79">
        <f>326/31</f>
        <v>10.516129032258064</v>
      </c>
      <c r="BL177" s="21"/>
    </row>
    <row r="178" spans="1:64" ht="36" customHeight="1" x14ac:dyDescent="0.3">
      <c r="A178" s="15">
        <v>177</v>
      </c>
      <c r="B178" s="16" t="s">
        <v>996</v>
      </c>
      <c r="C178" s="16" t="s">
        <v>997</v>
      </c>
      <c r="D178" s="15">
        <v>2024</v>
      </c>
      <c r="E178" s="17" t="s">
        <v>642</v>
      </c>
      <c r="F178" s="15" t="s">
        <v>409</v>
      </c>
      <c r="G178" s="19" t="s">
        <v>225</v>
      </c>
      <c r="H178" s="48">
        <v>112878920000</v>
      </c>
      <c r="I178" s="53"/>
      <c r="J178" s="48"/>
      <c r="K178" s="18" t="s">
        <v>243</v>
      </c>
      <c r="L178" s="15" t="s">
        <v>194</v>
      </c>
      <c r="M178" s="15" t="s">
        <v>195</v>
      </c>
      <c r="N178" s="15" t="s">
        <v>90</v>
      </c>
      <c r="O178" s="15" t="s">
        <v>42</v>
      </c>
      <c r="P178" s="18" t="s">
        <v>7</v>
      </c>
      <c r="Q178" s="70">
        <v>19276.3</v>
      </c>
      <c r="R178" s="70">
        <v>11460.57</v>
      </c>
      <c r="S178" s="81">
        <v>71228</v>
      </c>
      <c r="T178" s="48">
        <v>2</v>
      </c>
      <c r="U178" s="53">
        <v>10</v>
      </c>
      <c r="V178" s="18" t="s">
        <v>18</v>
      </c>
      <c r="W178" s="18" t="s">
        <v>18</v>
      </c>
      <c r="X178" s="18" t="s">
        <v>9</v>
      </c>
      <c r="Y178" s="18" t="s">
        <v>61</v>
      </c>
      <c r="Z178" s="18"/>
      <c r="AA178" s="18"/>
      <c r="AB178" s="18" t="s">
        <v>20</v>
      </c>
      <c r="AC178" s="18" t="s">
        <v>1066</v>
      </c>
      <c r="AD178" s="18" t="s">
        <v>1082</v>
      </c>
      <c r="AE178" s="18" t="s">
        <v>410</v>
      </c>
      <c r="AF178" s="18"/>
      <c r="AG178" s="85"/>
      <c r="AH178" s="18" t="s">
        <v>264</v>
      </c>
      <c r="AI178" s="85"/>
      <c r="AJ178" s="85"/>
      <c r="AK178" s="85"/>
      <c r="AL178" s="92"/>
      <c r="AM178" s="92"/>
      <c r="AN178" s="92"/>
      <c r="AO178" s="92"/>
      <c r="AP178" s="92"/>
      <c r="AQ178" s="92"/>
      <c r="AR178" s="92">
        <f t="shared" si="11"/>
        <v>0</v>
      </c>
      <c r="AS178" s="85"/>
      <c r="AT178" s="85"/>
      <c r="AU178" s="85"/>
      <c r="AV178" s="85"/>
      <c r="AW178" s="85"/>
      <c r="AX178" s="85"/>
      <c r="AY178" s="92"/>
      <c r="AZ178" s="85"/>
      <c r="BA178" s="85"/>
      <c r="BB178" s="92"/>
      <c r="BC178" s="92"/>
      <c r="BD178" s="102">
        <v>23.5</v>
      </c>
      <c r="BE178" s="102"/>
      <c r="BF178" s="79"/>
      <c r="BG178" s="79">
        <v>3</v>
      </c>
      <c r="BH178" s="79"/>
      <c r="BI178" s="79">
        <v>11</v>
      </c>
      <c r="BJ178" s="79">
        <v>6.5</v>
      </c>
      <c r="BK178" s="79">
        <v>8.5</v>
      </c>
      <c r="BL178" s="15"/>
    </row>
    <row r="179" spans="1:64" ht="36" customHeight="1" x14ac:dyDescent="0.3">
      <c r="A179" s="15">
        <v>178</v>
      </c>
      <c r="B179" s="16" t="s">
        <v>998</v>
      </c>
      <c r="C179" s="16" t="s">
        <v>999</v>
      </c>
      <c r="D179" s="15">
        <v>2024</v>
      </c>
      <c r="E179" s="17" t="s">
        <v>407</v>
      </c>
      <c r="F179" s="15" t="s">
        <v>408</v>
      </c>
      <c r="G179" s="19" t="s">
        <v>225</v>
      </c>
      <c r="H179" s="48">
        <v>50300000000</v>
      </c>
      <c r="I179" s="53"/>
      <c r="J179" s="48"/>
      <c r="K179" s="18" t="s">
        <v>241</v>
      </c>
      <c r="L179" s="15" t="s">
        <v>120</v>
      </c>
      <c r="M179" s="15" t="s">
        <v>196</v>
      </c>
      <c r="N179" s="15" t="s">
        <v>90</v>
      </c>
      <c r="O179" s="15" t="s">
        <v>42</v>
      </c>
      <c r="P179" s="18" t="s">
        <v>14</v>
      </c>
      <c r="Q179" s="70">
        <v>7251.7</v>
      </c>
      <c r="R179" s="70">
        <v>5342.36</v>
      </c>
      <c r="S179" s="81">
        <v>40555.11</v>
      </c>
      <c r="T179" s="48">
        <v>2</v>
      </c>
      <c r="U179" s="53">
        <v>6</v>
      </c>
      <c r="V179" s="15" t="s">
        <v>18</v>
      </c>
      <c r="W179" s="18" t="s">
        <v>18</v>
      </c>
      <c r="X179" s="18" t="s">
        <v>9</v>
      </c>
      <c r="Y179" s="18" t="s">
        <v>62</v>
      </c>
      <c r="Z179" s="18"/>
      <c r="AA179" s="18"/>
      <c r="AB179" s="21" t="s">
        <v>1199</v>
      </c>
      <c r="AC179" s="18" t="s">
        <v>1206</v>
      </c>
      <c r="AD179" s="18" t="s">
        <v>1082</v>
      </c>
      <c r="AE179" s="18"/>
      <c r="AF179" s="18"/>
      <c r="AG179" s="85"/>
      <c r="AH179" s="18" t="s">
        <v>264</v>
      </c>
      <c r="AI179" s="85"/>
      <c r="AJ179" s="85"/>
      <c r="AK179" s="85"/>
      <c r="AL179" s="92"/>
      <c r="AM179" s="92"/>
      <c r="AN179" s="92"/>
      <c r="AO179" s="92"/>
      <c r="AP179" s="92"/>
      <c r="AQ179" s="92"/>
      <c r="AR179" s="92">
        <f t="shared" si="11"/>
        <v>0</v>
      </c>
      <c r="AS179" s="85"/>
      <c r="AT179" s="85"/>
      <c r="AU179" s="85"/>
      <c r="AV179" s="85"/>
      <c r="AW179" s="85"/>
      <c r="AX179" s="85"/>
      <c r="AY179" s="92"/>
      <c r="AZ179" s="85"/>
      <c r="BA179" s="85"/>
      <c r="BB179" s="92"/>
      <c r="BC179" s="92"/>
      <c r="BD179" s="102">
        <v>18</v>
      </c>
      <c r="BE179" s="102"/>
      <c r="BF179" s="79"/>
      <c r="BG179" s="79">
        <f>92/30</f>
        <v>3.0666666666666669</v>
      </c>
      <c r="BH179" s="79"/>
      <c r="BI179" s="79">
        <f>297/30</f>
        <v>9.9</v>
      </c>
      <c r="BJ179" s="79">
        <f>120/30</f>
        <v>4</v>
      </c>
      <c r="BK179" s="79">
        <f>165/30</f>
        <v>5.5</v>
      </c>
      <c r="BL179" s="15"/>
    </row>
    <row r="180" spans="1:64" ht="36" customHeight="1" x14ac:dyDescent="0.3">
      <c r="A180" s="15">
        <v>179</v>
      </c>
      <c r="B180" s="16" t="s">
        <v>1000</v>
      </c>
      <c r="C180" s="15"/>
      <c r="D180" s="17">
        <v>2024</v>
      </c>
      <c r="E180" s="21" t="s">
        <v>643</v>
      </c>
      <c r="F180" s="21" t="s">
        <v>397</v>
      </c>
      <c r="G180" s="44" t="s">
        <v>687</v>
      </c>
      <c r="H180" s="48">
        <v>32000000000</v>
      </c>
      <c r="I180" s="53"/>
      <c r="J180" s="53"/>
      <c r="K180" s="21" t="s">
        <v>397</v>
      </c>
      <c r="L180" s="17" t="s">
        <v>36</v>
      </c>
      <c r="M180" s="17" t="s">
        <v>36</v>
      </c>
      <c r="N180" s="17" t="s">
        <v>485</v>
      </c>
      <c r="O180" s="17" t="s">
        <v>647</v>
      </c>
      <c r="P180" s="17" t="s">
        <v>621</v>
      </c>
      <c r="Q180" s="76"/>
      <c r="R180" s="76"/>
      <c r="S180" s="72">
        <v>40555</v>
      </c>
      <c r="T180" s="58">
        <v>1</v>
      </c>
      <c r="U180" s="59">
        <v>1</v>
      </c>
      <c r="V180" s="15"/>
      <c r="W180" s="15"/>
      <c r="X180" s="17" t="s">
        <v>9</v>
      </c>
      <c r="Y180" s="18"/>
      <c r="Z180" s="18"/>
      <c r="AA180" s="18"/>
      <c r="AB180" s="17" t="s">
        <v>1196</v>
      </c>
      <c r="AC180" s="18" t="s">
        <v>1206</v>
      </c>
      <c r="AD180" s="17"/>
      <c r="AE180" s="17"/>
      <c r="AF180" s="17"/>
      <c r="AG180" s="59"/>
      <c r="AH180" s="18"/>
      <c r="AI180" s="85"/>
      <c r="AJ180" s="85"/>
      <c r="AK180" s="85"/>
      <c r="AL180" s="92"/>
      <c r="AM180" s="62"/>
      <c r="AN180" s="62"/>
      <c r="AO180" s="62"/>
      <c r="AP180" s="62"/>
      <c r="AQ180" s="62"/>
      <c r="AR180" s="92">
        <f t="shared" si="11"/>
        <v>0</v>
      </c>
      <c r="AS180" s="85"/>
      <c r="AT180" s="85"/>
      <c r="AU180" s="85"/>
      <c r="AV180" s="85"/>
      <c r="AW180" s="85"/>
      <c r="AX180" s="85"/>
      <c r="AY180" s="92"/>
      <c r="AZ180" s="85"/>
      <c r="BA180" s="85"/>
      <c r="BB180" s="92"/>
      <c r="BC180" s="92"/>
      <c r="BD180" s="107">
        <v>12</v>
      </c>
      <c r="BE180" s="107"/>
      <c r="BF180" s="79"/>
      <c r="BG180" s="79">
        <v>8</v>
      </c>
      <c r="BH180" s="79"/>
      <c r="BI180" s="79">
        <v>7</v>
      </c>
      <c r="BJ180" s="79">
        <v>5</v>
      </c>
      <c r="BK180" s="79"/>
      <c r="BL180" s="21"/>
    </row>
    <row r="181" spans="1:64" ht="36" customHeight="1" x14ac:dyDescent="0.3">
      <c r="A181" s="15">
        <v>180</v>
      </c>
      <c r="B181" s="16" t="s">
        <v>1043</v>
      </c>
      <c r="C181" s="15"/>
      <c r="D181" s="17">
        <v>2024</v>
      </c>
      <c r="E181" s="21" t="s">
        <v>377</v>
      </c>
      <c r="F181" s="21" t="s">
        <v>378</v>
      </c>
      <c r="G181" s="44" t="s">
        <v>687</v>
      </c>
      <c r="H181" s="53"/>
      <c r="I181" s="53"/>
      <c r="J181" s="53"/>
      <c r="K181" s="21" t="s">
        <v>242</v>
      </c>
      <c r="L181" s="17" t="s">
        <v>93</v>
      </c>
      <c r="M181" s="17" t="s">
        <v>106</v>
      </c>
      <c r="N181" s="17" t="s">
        <v>199</v>
      </c>
      <c r="O181" s="17" t="s">
        <v>42</v>
      </c>
      <c r="P181" s="17" t="s">
        <v>4</v>
      </c>
      <c r="Q181" s="72"/>
      <c r="R181" s="72"/>
      <c r="S181" s="72">
        <v>22327.263073377504</v>
      </c>
      <c r="T181" s="58">
        <v>5</v>
      </c>
      <c r="U181" s="59">
        <v>13</v>
      </c>
      <c r="V181" s="17" t="s">
        <v>18</v>
      </c>
      <c r="W181" s="17" t="s">
        <v>18</v>
      </c>
      <c r="X181" s="17" t="s">
        <v>64</v>
      </c>
      <c r="Y181" s="18"/>
      <c r="Z181" s="21" t="s">
        <v>1074</v>
      </c>
      <c r="AA181" s="17" t="s">
        <v>41</v>
      </c>
      <c r="AB181" s="21" t="s">
        <v>1199</v>
      </c>
      <c r="AC181" s="18"/>
      <c r="AD181" s="17"/>
      <c r="AE181" s="17"/>
      <c r="AF181" s="17"/>
      <c r="AG181" s="59"/>
      <c r="AH181" s="18"/>
      <c r="AI181" s="85"/>
      <c r="AJ181" s="85"/>
      <c r="AK181" s="85"/>
      <c r="AL181" s="92"/>
      <c r="AM181" s="62"/>
      <c r="AN181" s="62"/>
      <c r="AO181" s="62"/>
      <c r="AP181" s="62"/>
      <c r="AQ181" s="62"/>
      <c r="AR181" s="92">
        <f t="shared" si="11"/>
        <v>0</v>
      </c>
      <c r="AS181" s="85"/>
      <c r="AT181" s="85"/>
      <c r="AU181" s="85"/>
      <c r="AV181" s="85"/>
      <c r="AW181" s="85"/>
      <c r="AX181" s="85"/>
      <c r="AY181" s="92"/>
      <c r="AZ181" s="85"/>
      <c r="BA181" s="85"/>
      <c r="BB181" s="92"/>
      <c r="BC181" s="92"/>
      <c r="BD181" s="107">
        <v>39</v>
      </c>
      <c r="BE181" s="107"/>
      <c r="BF181" s="79"/>
      <c r="BG181" s="79">
        <v>6</v>
      </c>
      <c r="BH181" s="79"/>
      <c r="BI181" s="79">
        <v>26</v>
      </c>
      <c r="BJ181" s="79">
        <v>8</v>
      </c>
      <c r="BK181" s="79">
        <v>11</v>
      </c>
      <c r="BL181" s="21"/>
    </row>
    <row r="182" spans="1:64" ht="36" customHeight="1" x14ac:dyDescent="0.3">
      <c r="A182" s="15">
        <v>181</v>
      </c>
      <c r="B182" s="16" t="s">
        <v>1001</v>
      </c>
      <c r="C182" s="15"/>
      <c r="D182" s="17">
        <v>2024</v>
      </c>
      <c r="E182" s="21" t="s">
        <v>405</v>
      </c>
      <c r="F182" s="21" t="s">
        <v>256</v>
      </c>
      <c r="G182" s="19" t="s">
        <v>35</v>
      </c>
      <c r="H182" s="48">
        <v>119900000000</v>
      </c>
      <c r="I182" s="53"/>
      <c r="J182" s="53"/>
      <c r="K182" s="21" t="s">
        <v>242</v>
      </c>
      <c r="L182" s="17" t="s">
        <v>120</v>
      </c>
      <c r="M182" s="17" t="s">
        <v>196</v>
      </c>
      <c r="N182" s="17" t="s">
        <v>90</v>
      </c>
      <c r="O182" s="21" t="s">
        <v>42</v>
      </c>
      <c r="P182" s="21" t="s">
        <v>7</v>
      </c>
      <c r="Q182" s="76">
        <v>29283</v>
      </c>
      <c r="R182" s="76">
        <v>17566</v>
      </c>
      <c r="S182" s="72">
        <v>69068.19</v>
      </c>
      <c r="T182" s="58">
        <v>1</v>
      </c>
      <c r="U182" s="59">
        <v>3</v>
      </c>
      <c r="V182" s="46" t="s">
        <v>16</v>
      </c>
      <c r="W182" s="30" t="s">
        <v>24</v>
      </c>
      <c r="X182" s="17" t="s">
        <v>9</v>
      </c>
      <c r="Y182" s="21" t="s">
        <v>62</v>
      </c>
      <c r="Z182" s="18"/>
      <c r="AA182" s="18"/>
      <c r="AB182" s="21" t="s">
        <v>20</v>
      </c>
      <c r="AC182" s="18"/>
      <c r="AD182" s="17" t="s">
        <v>1082</v>
      </c>
      <c r="AE182" s="17"/>
      <c r="AF182" s="17"/>
      <c r="AG182" s="59"/>
      <c r="AH182" s="17" t="s">
        <v>264</v>
      </c>
      <c r="AI182" s="59"/>
      <c r="AJ182" s="59"/>
      <c r="AK182" s="59"/>
      <c r="AL182" s="92"/>
      <c r="AM182" s="62"/>
      <c r="AN182" s="62"/>
      <c r="AO182" s="62"/>
      <c r="AP182" s="62"/>
      <c r="AQ182" s="62"/>
      <c r="AR182" s="92">
        <f t="shared" si="11"/>
        <v>0</v>
      </c>
      <c r="AS182" s="59"/>
      <c r="AT182" s="59"/>
      <c r="AU182" s="59"/>
      <c r="AV182" s="59"/>
      <c r="AW182" s="59"/>
      <c r="AX182" s="59"/>
      <c r="AY182" s="62"/>
      <c r="AZ182" s="59"/>
      <c r="BA182" s="59"/>
      <c r="BB182" s="62"/>
      <c r="BC182" s="62"/>
      <c r="BD182" s="107">
        <v>28</v>
      </c>
      <c r="BE182" s="102"/>
      <c r="BF182" s="79"/>
      <c r="BG182" s="107">
        <f>467/30</f>
        <v>15.566666666666666</v>
      </c>
      <c r="BH182" s="107">
        <f>433/30</f>
        <v>14.433333333333334</v>
      </c>
      <c r="BI182" s="107">
        <f>444/30</f>
        <v>14.8</v>
      </c>
      <c r="BJ182" s="107">
        <f>145/30</f>
        <v>4.833333333333333</v>
      </c>
      <c r="BK182" s="107">
        <f>263/30</f>
        <v>8.7666666666666675</v>
      </c>
      <c r="BL182" s="21" t="s">
        <v>406</v>
      </c>
    </row>
    <row r="183" spans="1:64" ht="36" customHeight="1" x14ac:dyDescent="0.3">
      <c r="A183" s="15">
        <v>182</v>
      </c>
      <c r="B183" s="16" t="s">
        <v>1002</v>
      </c>
      <c r="C183" s="16" t="s">
        <v>1003</v>
      </c>
      <c r="D183" s="17">
        <v>2024</v>
      </c>
      <c r="E183" s="21" t="s">
        <v>403</v>
      </c>
      <c r="F183" s="21" t="s">
        <v>220</v>
      </c>
      <c r="G183" s="44" t="s">
        <v>687</v>
      </c>
      <c r="H183" s="48">
        <v>535000000000</v>
      </c>
      <c r="I183" s="53"/>
      <c r="J183" s="53"/>
      <c r="K183" s="21" t="s">
        <v>241</v>
      </c>
      <c r="L183" s="17" t="s">
        <v>144</v>
      </c>
      <c r="M183" s="17" t="s">
        <v>404</v>
      </c>
      <c r="N183" s="17" t="s">
        <v>486</v>
      </c>
      <c r="O183" s="17" t="s">
        <v>42</v>
      </c>
      <c r="P183" s="17" t="s">
        <v>31</v>
      </c>
      <c r="Q183" s="76">
        <v>53426</v>
      </c>
      <c r="R183" s="76">
        <v>28571.01</v>
      </c>
      <c r="S183" s="72">
        <v>133935.22</v>
      </c>
      <c r="T183" s="58">
        <v>1</v>
      </c>
      <c r="U183" s="59">
        <v>17</v>
      </c>
      <c r="V183" s="46" t="s">
        <v>16</v>
      </c>
      <c r="W183" s="30" t="s">
        <v>16</v>
      </c>
      <c r="X183" s="17" t="s">
        <v>9</v>
      </c>
      <c r="Y183" s="21" t="s">
        <v>62</v>
      </c>
      <c r="Z183" s="18"/>
      <c r="AA183" s="18"/>
      <c r="AB183" s="21" t="s">
        <v>33</v>
      </c>
      <c r="AC183" s="18" t="s">
        <v>1205</v>
      </c>
      <c r="AD183" s="17" t="s">
        <v>1099</v>
      </c>
      <c r="AE183" s="17" t="s">
        <v>266</v>
      </c>
      <c r="AF183" s="17"/>
      <c r="AG183" s="59"/>
      <c r="AH183" s="17" t="s">
        <v>264</v>
      </c>
      <c r="AI183" s="59"/>
      <c r="AJ183" s="59"/>
      <c r="AK183" s="59"/>
      <c r="AL183" s="92"/>
      <c r="AM183" s="62"/>
      <c r="AN183" s="62"/>
      <c r="AO183" s="62"/>
      <c r="AP183" s="62"/>
      <c r="AQ183" s="62"/>
      <c r="AR183" s="92">
        <f t="shared" si="11"/>
        <v>0</v>
      </c>
      <c r="AS183" s="59"/>
      <c r="AT183" s="59"/>
      <c r="AU183" s="59"/>
      <c r="AV183" s="59"/>
      <c r="AW183" s="59"/>
      <c r="AX183" s="59"/>
      <c r="AY183" s="62"/>
      <c r="AZ183" s="59"/>
      <c r="BA183" s="59"/>
      <c r="BB183" s="62"/>
      <c r="BC183" s="62"/>
      <c r="BD183" s="107">
        <v>38</v>
      </c>
      <c r="BE183" s="102"/>
      <c r="BF183" s="79"/>
      <c r="BG183" s="107">
        <f>196/30</f>
        <v>6.5333333333333332</v>
      </c>
      <c r="BH183" s="79"/>
      <c r="BI183" s="107">
        <f>464/30</f>
        <v>15.466666666666667</v>
      </c>
      <c r="BJ183" s="107">
        <f>360/30</f>
        <v>12</v>
      </c>
      <c r="BK183" s="107">
        <f>464/30</f>
        <v>15.466666666666667</v>
      </c>
      <c r="BL183" s="21"/>
    </row>
    <row r="184" spans="1:64" ht="36" customHeight="1" x14ac:dyDescent="0.3">
      <c r="A184" s="15">
        <v>183</v>
      </c>
      <c r="B184" s="16" t="s">
        <v>1004</v>
      </c>
      <c r="C184" s="15"/>
      <c r="D184" s="17">
        <v>2024</v>
      </c>
      <c r="E184" s="21" t="s">
        <v>79</v>
      </c>
      <c r="F184" s="21" t="s">
        <v>215</v>
      </c>
      <c r="G184" s="44" t="s">
        <v>687</v>
      </c>
      <c r="H184" s="48">
        <v>28000000000</v>
      </c>
      <c r="I184" s="53"/>
      <c r="J184" s="53"/>
      <c r="K184" s="21" t="s">
        <v>397</v>
      </c>
      <c r="L184" s="17" t="s">
        <v>197</v>
      </c>
      <c r="M184" s="17" t="s">
        <v>198</v>
      </c>
      <c r="N184" s="17" t="s">
        <v>199</v>
      </c>
      <c r="O184" s="17" t="s">
        <v>42</v>
      </c>
      <c r="P184" s="17" t="s">
        <v>14</v>
      </c>
      <c r="Q184" s="76">
        <v>6611</v>
      </c>
      <c r="R184" s="70"/>
      <c r="S184" s="72">
        <v>10305.89</v>
      </c>
      <c r="T184" s="58">
        <v>1</v>
      </c>
      <c r="U184" s="59">
        <v>7</v>
      </c>
      <c r="V184" s="15"/>
      <c r="W184" s="30" t="s">
        <v>18</v>
      </c>
      <c r="X184" s="17" t="s">
        <v>9</v>
      </c>
      <c r="Y184" s="17" t="s">
        <v>62</v>
      </c>
      <c r="Z184" s="18"/>
      <c r="AA184" s="18"/>
      <c r="AB184" s="17" t="s">
        <v>33</v>
      </c>
      <c r="AC184" s="18"/>
      <c r="AD184" s="17"/>
      <c r="AE184" s="17"/>
      <c r="AF184" s="17"/>
      <c r="AG184" s="59"/>
      <c r="AH184" s="18"/>
      <c r="AI184" s="85"/>
      <c r="AJ184" s="85"/>
      <c r="AK184" s="85"/>
      <c r="AL184" s="92"/>
      <c r="AM184" s="62"/>
      <c r="AN184" s="62"/>
      <c r="AO184" s="62"/>
      <c r="AP184" s="62"/>
      <c r="AQ184" s="62"/>
      <c r="AR184" s="92">
        <f t="shared" si="11"/>
        <v>0</v>
      </c>
      <c r="AS184" s="85"/>
      <c r="AT184" s="85"/>
      <c r="AU184" s="85"/>
      <c r="AV184" s="85"/>
      <c r="AW184" s="85"/>
      <c r="AX184" s="85"/>
      <c r="AY184" s="92"/>
      <c r="AZ184" s="85"/>
      <c r="BA184" s="85"/>
      <c r="BB184" s="92"/>
      <c r="BC184" s="92"/>
      <c r="BD184" s="107">
        <v>17</v>
      </c>
      <c r="BE184" s="107"/>
      <c r="BF184" s="79"/>
      <c r="BG184" s="79"/>
      <c r="BH184" s="79"/>
      <c r="BI184" s="79"/>
      <c r="BJ184" s="79"/>
      <c r="BK184" s="79"/>
      <c r="BL184" s="21"/>
    </row>
    <row r="185" spans="1:64" ht="36" customHeight="1" x14ac:dyDescent="0.3">
      <c r="A185" s="15">
        <v>184</v>
      </c>
      <c r="B185" s="16" t="s">
        <v>1005</v>
      </c>
      <c r="C185" s="15"/>
      <c r="D185" s="17">
        <v>2024</v>
      </c>
      <c r="E185" s="21" t="s">
        <v>222</v>
      </c>
      <c r="F185" s="21" t="s">
        <v>228</v>
      </c>
      <c r="G185" s="44" t="s">
        <v>687</v>
      </c>
      <c r="H185" s="48">
        <v>35000000000</v>
      </c>
      <c r="I185" s="53"/>
      <c r="J185" s="53"/>
      <c r="K185" s="21" t="s">
        <v>241</v>
      </c>
      <c r="L185" s="17" t="s">
        <v>36</v>
      </c>
      <c r="M185" s="17" t="s">
        <v>36</v>
      </c>
      <c r="N185" s="17" t="s">
        <v>199</v>
      </c>
      <c r="O185" s="17" t="s">
        <v>5</v>
      </c>
      <c r="P185" s="17" t="s">
        <v>487</v>
      </c>
      <c r="Q185" s="72"/>
      <c r="R185" s="72"/>
      <c r="S185" s="72"/>
      <c r="T185" s="58">
        <v>2</v>
      </c>
      <c r="U185" s="59">
        <v>4</v>
      </c>
      <c r="V185" s="17" t="s">
        <v>16</v>
      </c>
      <c r="W185" s="30" t="s">
        <v>16</v>
      </c>
      <c r="X185" s="17" t="s">
        <v>9</v>
      </c>
      <c r="Y185" s="18"/>
      <c r="Z185" s="18"/>
      <c r="AA185" s="18"/>
      <c r="AB185" s="17" t="s">
        <v>1199</v>
      </c>
      <c r="AC185" s="18"/>
      <c r="AD185" s="17"/>
      <c r="AE185" s="17"/>
      <c r="AF185" s="17"/>
      <c r="AG185" s="59"/>
      <c r="AH185" s="18"/>
      <c r="AI185" s="85"/>
      <c r="AJ185" s="85"/>
      <c r="AK185" s="85"/>
      <c r="AL185" s="92"/>
      <c r="AM185" s="62"/>
      <c r="AN185" s="62"/>
      <c r="AO185" s="62"/>
      <c r="AP185" s="62"/>
      <c r="AQ185" s="62"/>
      <c r="AR185" s="92">
        <f t="shared" si="11"/>
        <v>0</v>
      </c>
      <c r="AS185" s="85"/>
      <c r="AT185" s="85"/>
      <c r="AU185" s="85"/>
      <c r="AV185" s="85"/>
      <c r="AW185" s="85"/>
      <c r="AX185" s="85"/>
      <c r="AY185" s="92"/>
      <c r="AZ185" s="85"/>
      <c r="BA185" s="85"/>
      <c r="BB185" s="92"/>
      <c r="BC185" s="92"/>
      <c r="BD185" s="107">
        <v>16</v>
      </c>
      <c r="BE185" s="107"/>
      <c r="BF185" s="79">
        <f>135/30</f>
        <v>4.5</v>
      </c>
      <c r="BG185" s="79">
        <f>92/30</f>
        <v>3.0666666666666669</v>
      </c>
      <c r="BH185" s="79"/>
      <c r="BI185" s="79">
        <f>120/30</f>
        <v>4</v>
      </c>
      <c r="BJ185" s="79">
        <f>120/30</f>
        <v>4</v>
      </c>
      <c r="BK185" s="79">
        <f>244/30</f>
        <v>8.1333333333333329</v>
      </c>
      <c r="BL185" s="21"/>
    </row>
    <row r="186" spans="1:64" ht="36" customHeight="1" x14ac:dyDescent="0.3">
      <c r="A186" s="15">
        <v>185</v>
      </c>
      <c r="B186" s="16" t="s">
        <v>1044</v>
      </c>
      <c r="C186" s="15"/>
      <c r="D186" s="17">
        <v>2025</v>
      </c>
      <c r="E186" s="21" t="s">
        <v>223</v>
      </c>
      <c r="F186" s="21" t="s">
        <v>397</v>
      </c>
      <c r="G186" s="44" t="s">
        <v>687</v>
      </c>
      <c r="H186" s="53"/>
      <c r="I186" s="53"/>
      <c r="J186" s="53"/>
      <c r="K186" s="21" t="s">
        <v>243</v>
      </c>
      <c r="L186" s="17" t="s">
        <v>93</v>
      </c>
      <c r="M186" s="17" t="s">
        <v>99</v>
      </c>
      <c r="N186" s="17" t="s">
        <v>199</v>
      </c>
      <c r="O186" s="17" t="s">
        <v>42</v>
      </c>
      <c r="P186" s="17" t="s">
        <v>31</v>
      </c>
      <c r="Q186" s="72"/>
      <c r="R186" s="72"/>
      <c r="S186" s="72"/>
      <c r="T186" s="58">
        <v>2</v>
      </c>
      <c r="U186" s="59">
        <v>16</v>
      </c>
      <c r="V186" s="17" t="s">
        <v>16</v>
      </c>
      <c r="W186" s="30" t="s">
        <v>16</v>
      </c>
      <c r="X186" s="17" t="s">
        <v>9</v>
      </c>
      <c r="Y186" s="18"/>
      <c r="Z186" s="18"/>
      <c r="AA186" s="18"/>
      <c r="AB186" s="17" t="s">
        <v>1199</v>
      </c>
      <c r="AC186" s="18"/>
      <c r="AD186" s="17"/>
      <c r="AE186" s="17"/>
      <c r="AF186" s="17"/>
      <c r="AG186" s="59"/>
      <c r="AH186" s="18"/>
      <c r="AI186" s="85"/>
      <c r="AJ186" s="85"/>
      <c r="AK186" s="85"/>
      <c r="AL186" s="92"/>
      <c r="AM186" s="62"/>
      <c r="AN186" s="62"/>
      <c r="AO186" s="62"/>
      <c r="AP186" s="62"/>
      <c r="AQ186" s="62"/>
      <c r="AR186" s="92">
        <f t="shared" si="11"/>
        <v>0</v>
      </c>
      <c r="AS186" s="85"/>
      <c r="AT186" s="85"/>
      <c r="AU186" s="85"/>
      <c r="AV186" s="85"/>
      <c r="AW186" s="85"/>
      <c r="AX186" s="85"/>
      <c r="AY186" s="92"/>
      <c r="AZ186" s="85"/>
      <c r="BA186" s="85"/>
      <c r="BB186" s="92"/>
      <c r="BC186" s="92"/>
      <c r="BD186" s="107">
        <v>30</v>
      </c>
      <c r="BE186" s="107"/>
      <c r="BF186" s="79"/>
      <c r="BG186" s="79">
        <v>11</v>
      </c>
      <c r="BH186" s="79"/>
      <c r="BI186" s="79">
        <v>16</v>
      </c>
      <c r="BJ186" s="79">
        <v>11</v>
      </c>
      <c r="BK186" s="79">
        <v>14</v>
      </c>
      <c r="BL186" s="21"/>
    </row>
    <row r="187" spans="1:64" ht="36" customHeight="1" x14ac:dyDescent="0.3">
      <c r="A187" s="15">
        <v>186</v>
      </c>
      <c r="B187" s="16" t="s">
        <v>1045</v>
      </c>
      <c r="C187" s="15"/>
      <c r="D187" s="17">
        <v>2025</v>
      </c>
      <c r="E187" s="21" t="s">
        <v>401</v>
      </c>
      <c r="F187" s="21" t="s">
        <v>229</v>
      </c>
      <c r="G187" s="44" t="s">
        <v>687</v>
      </c>
      <c r="H187" s="48">
        <v>86900000000</v>
      </c>
      <c r="I187" s="53"/>
      <c r="J187" s="53"/>
      <c r="K187" s="21" t="s">
        <v>243</v>
      </c>
      <c r="L187" s="17" t="s">
        <v>167</v>
      </c>
      <c r="M187" s="17" t="s">
        <v>402</v>
      </c>
      <c r="N187" s="17" t="s">
        <v>486</v>
      </c>
      <c r="O187" s="17" t="s">
        <v>42</v>
      </c>
      <c r="P187" s="17" t="s">
        <v>31</v>
      </c>
      <c r="Q187" s="76">
        <v>22591</v>
      </c>
      <c r="R187" s="76">
        <v>9164.82</v>
      </c>
      <c r="S187" s="72">
        <v>23950.04</v>
      </c>
      <c r="T187" s="48">
        <v>0</v>
      </c>
      <c r="U187" s="59">
        <v>4</v>
      </c>
      <c r="V187" s="46" t="s">
        <v>16</v>
      </c>
      <c r="W187" s="30" t="s">
        <v>18</v>
      </c>
      <c r="X187" s="17" t="s">
        <v>9</v>
      </c>
      <c r="Y187" s="17" t="s">
        <v>62</v>
      </c>
      <c r="Z187" s="18"/>
      <c r="AA187" s="18"/>
      <c r="AB187" s="21" t="s">
        <v>33</v>
      </c>
      <c r="AC187" s="18" t="s">
        <v>1204</v>
      </c>
      <c r="AD187" s="17" t="s">
        <v>338</v>
      </c>
      <c r="AE187" s="17" t="s">
        <v>265</v>
      </c>
      <c r="AF187" s="17"/>
      <c r="AG187" s="59"/>
      <c r="AH187" s="17" t="s">
        <v>264</v>
      </c>
      <c r="AI187" s="59"/>
      <c r="AJ187" s="59"/>
      <c r="AK187" s="59"/>
      <c r="AL187" s="92"/>
      <c r="AM187" s="62"/>
      <c r="AN187" s="65"/>
      <c r="AO187" s="62"/>
      <c r="AP187" s="62"/>
      <c r="AQ187" s="62"/>
      <c r="AR187" s="92">
        <f t="shared" si="11"/>
        <v>0</v>
      </c>
      <c r="AS187" s="59"/>
      <c r="AT187" s="59"/>
      <c r="AU187" s="59"/>
      <c r="AV187" s="59"/>
      <c r="AW187" s="59"/>
      <c r="AX187" s="59"/>
      <c r="AY187" s="62"/>
      <c r="AZ187" s="59"/>
      <c r="BA187" s="59"/>
      <c r="BB187" s="62"/>
      <c r="BC187" s="62"/>
      <c r="BD187" s="107">
        <v>29</v>
      </c>
      <c r="BE187" s="102"/>
      <c r="BF187" s="79"/>
      <c r="BG187" s="107">
        <f>225/30</f>
        <v>7.5</v>
      </c>
      <c r="BH187" s="79"/>
      <c r="BI187" s="107">
        <f>338/30</f>
        <v>11.266666666666667</v>
      </c>
      <c r="BJ187" s="107">
        <f>240/30</f>
        <v>8</v>
      </c>
      <c r="BK187" s="107">
        <f>283/30</f>
        <v>9.4333333333333336</v>
      </c>
      <c r="BL187" s="21"/>
    </row>
    <row r="188" spans="1:64" ht="36" customHeight="1" x14ac:dyDescent="0.3">
      <c r="A188" s="15">
        <v>187</v>
      </c>
      <c r="B188" s="16" t="s">
        <v>1006</v>
      </c>
      <c r="C188" s="15"/>
      <c r="D188" s="17">
        <v>2024</v>
      </c>
      <c r="E188" s="21" t="s">
        <v>644</v>
      </c>
      <c r="F188" s="21" t="s">
        <v>230</v>
      </c>
      <c r="G188" s="44" t="s">
        <v>687</v>
      </c>
      <c r="H188" s="48">
        <v>268000000000</v>
      </c>
      <c r="I188" s="53"/>
      <c r="J188" s="53"/>
      <c r="K188" s="21" t="s">
        <v>243</v>
      </c>
      <c r="L188" s="17" t="s">
        <v>97</v>
      </c>
      <c r="M188" s="17" t="s">
        <v>98</v>
      </c>
      <c r="N188" s="17" t="s">
        <v>485</v>
      </c>
      <c r="O188" s="17" t="s">
        <v>42</v>
      </c>
      <c r="P188" s="21" t="s">
        <v>7</v>
      </c>
      <c r="Q188" s="76">
        <v>68659</v>
      </c>
      <c r="R188" s="76">
        <v>38394</v>
      </c>
      <c r="S188" s="72">
        <v>196503</v>
      </c>
      <c r="T188" s="58">
        <v>2</v>
      </c>
      <c r="U188" s="59">
        <v>4</v>
      </c>
      <c r="V188" s="46" t="s">
        <v>24</v>
      </c>
      <c r="W188" s="46" t="s">
        <v>24</v>
      </c>
      <c r="X188" s="17" t="s">
        <v>9</v>
      </c>
      <c r="Y188" s="17" t="s">
        <v>62</v>
      </c>
      <c r="Z188" s="17"/>
      <c r="AA188" s="18"/>
      <c r="AB188" s="17" t="s">
        <v>1196</v>
      </c>
      <c r="AC188" s="17" t="s">
        <v>1063</v>
      </c>
      <c r="AD188" s="18" t="s">
        <v>1082</v>
      </c>
      <c r="AE188" s="17"/>
      <c r="AF188" s="17"/>
      <c r="AG188" s="59"/>
      <c r="AH188" s="17" t="s">
        <v>325</v>
      </c>
      <c r="AI188" s="59"/>
      <c r="AJ188" s="59"/>
      <c r="AK188" s="59"/>
      <c r="AL188" s="92"/>
      <c r="AM188" s="62"/>
      <c r="AN188" s="62"/>
      <c r="AO188" s="62"/>
      <c r="AP188" s="62"/>
      <c r="AQ188" s="62"/>
      <c r="AR188" s="92">
        <f t="shared" si="11"/>
        <v>0</v>
      </c>
      <c r="AS188" s="59"/>
      <c r="AT188" s="59"/>
      <c r="AU188" s="59"/>
      <c r="AV188" s="59"/>
      <c r="AW188" s="59"/>
      <c r="AX188" s="59"/>
      <c r="AY188" s="62"/>
      <c r="AZ188" s="59"/>
      <c r="BA188" s="59"/>
      <c r="BB188" s="62"/>
      <c r="BC188" s="62"/>
      <c r="BD188" s="107">
        <v>30</v>
      </c>
      <c r="BE188" s="102"/>
      <c r="BF188" s="79"/>
      <c r="BG188" s="107">
        <f>181/30</f>
        <v>6.0333333333333332</v>
      </c>
      <c r="BH188" s="107">
        <f>492/30</f>
        <v>16.399999999999999</v>
      </c>
      <c r="BI188" s="107">
        <f>496/30</f>
        <v>16.533333333333335</v>
      </c>
      <c r="BJ188" s="107">
        <f>220/30</f>
        <v>7.333333333333333</v>
      </c>
      <c r="BK188" s="107">
        <f>277/30</f>
        <v>9.2333333333333325</v>
      </c>
      <c r="BL188" s="21"/>
    </row>
    <row r="189" spans="1:64" ht="36" customHeight="1" x14ac:dyDescent="0.3">
      <c r="A189" s="15">
        <v>188</v>
      </c>
      <c r="B189" s="16" t="s">
        <v>1007</v>
      </c>
      <c r="C189" s="15"/>
      <c r="D189" s="17">
        <v>2025</v>
      </c>
      <c r="E189" s="21" t="s">
        <v>645</v>
      </c>
      <c r="F189" s="21" t="s">
        <v>231</v>
      </c>
      <c r="G189" s="44" t="s">
        <v>687</v>
      </c>
      <c r="H189" s="48">
        <v>192500000000</v>
      </c>
      <c r="I189" s="53"/>
      <c r="J189" s="53"/>
      <c r="K189" s="21" t="s">
        <v>243</v>
      </c>
      <c r="L189" s="17" t="s">
        <v>169</v>
      </c>
      <c r="M189" s="17" t="s">
        <v>170</v>
      </c>
      <c r="N189" s="17" t="s">
        <v>485</v>
      </c>
      <c r="O189" s="17" t="s">
        <v>42</v>
      </c>
      <c r="P189" s="21" t="s">
        <v>7</v>
      </c>
      <c r="Q189" s="76">
        <v>49829</v>
      </c>
      <c r="R189" s="76">
        <v>34876.36</v>
      </c>
      <c r="S189" s="72">
        <v>165266.12</v>
      </c>
      <c r="T189" s="48">
        <v>0</v>
      </c>
      <c r="U189" s="59">
        <v>6</v>
      </c>
      <c r="V189" s="46" t="s">
        <v>1195</v>
      </c>
      <c r="W189" s="46" t="s">
        <v>24</v>
      </c>
      <c r="X189" s="17" t="s">
        <v>9</v>
      </c>
      <c r="Y189" s="17" t="s">
        <v>62</v>
      </c>
      <c r="Z189" s="17"/>
      <c r="AA189" s="18"/>
      <c r="AB189" s="17" t="s">
        <v>1196</v>
      </c>
      <c r="AC189" s="17" t="s">
        <v>1063</v>
      </c>
      <c r="AD189" s="18" t="s">
        <v>1082</v>
      </c>
      <c r="AE189" s="17"/>
      <c r="AF189" s="17"/>
      <c r="AG189" s="59"/>
      <c r="AH189" s="17" t="s">
        <v>264</v>
      </c>
      <c r="AI189" s="59"/>
      <c r="AJ189" s="59"/>
      <c r="AK189" s="59"/>
      <c r="AL189" s="92"/>
      <c r="AM189" s="62"/>
      <c r="AN189" s="62"/>
      <c r="AO189" s="62"/>
      <c r="AP189" s="62"/>
      <c r="AQ189" s="62"/>
      <c r="AR189" s="92">
        <f t="shared" si="11"/>
        <v>0</v>
      </c>
      <c r="AS189" s="59"/>
      <c r="AT189" s="59"/>
      <c r="AU189" s="59"/>
      <c r="AV189" s="59"/>
      <c r="AW189" s="59"/>
      <c r="AX189" s="59"/>
      <c r="AY189" s="62"/>
      <c r="AZ189" s="59"/>
      <c r="BA189" s="59"/>
      <c r="BB189" s="62"/>
      <c r="BC189" s="62"/>
      <c r="BD189" s="107">
        <v>25</v>
      </c>
      <c r="BE189" s="102"/>
      <c r="BF189" s="79"/>
      <c r="BG189" s="107">
        <f>166/30</f>
        <v>5.5333333333333332</v>
      </c>
      <c r="BH189" s="107">
        <f>335/30</f>
        <v>11.166666666666666</v>
      </c>
      <c r="BI189" s="107">
        <f>285/30</f>
        <v>9.5</v>
      </c>
      <c r="BJ189" s="107">
        <f>230/30</f>
        <v>7.666666666666667</v>
      </c>
      <c r="BK189" s="107">
        <f>287/30</f>
        <v>9.5666666666666664</v>
      </c>
      <c r="BL189" s="21"/>
    </row>
    <row r="190" spans="1:64" ht="36" customHeight="1" x14ac:dyDescent="0.3">
      <c r="A190" s="15">
        <v>189</v>
      </c>
      <c r="B190" s="16" t="s">
        <v>1008</v>
      </c>
      <c r="C190" s="15"/>
      <c r="D190" s="17">
        <v>2025</v>
      </c>
      <c r="E190" s="21" t="s">
        <v>698</v>
      </c>
      <c r="F190" s="21" t="s">
        <v>232</v>
      </c>
      <c r="G190" s="44" t="s">
        <v>688</v>
      </c>
      <c r="H190" s="48">
        <v>300000000000</v>
      </c>
      <c r="I190" s="53"/>
      <c r="J190" s="53"/>
      <c r="K190" s="21" t="s">
        <v>241</v>
      </c>
      <c r="L190" s="17" t="s">
        <v>399</v>
      </c>
      <c r="M190" s="17" t="s">
        <v>400</v>
      </c>
      <c r="N190" s="17" t="s">
        <v>90</v>
      </c>
      <c r="O190" s="17" t="s">
        <v>42</v>
      </c>
      <c r="P190" s="21" t="s">
        <v>14</v>
      </c>
      <c r="Q190" s="76">
        <v>188052</v>
      </c>
      <c r="R190" s="76">
        <v>67082.58</v>
      </c>
      <c r="S190" s="72">
        <v>137412.6</v>
      </c>
      <c r="T190" s="58">
        <v>0</v>
      </c>
      <c r="U190" s="59">
        <v>7</v>
      </c>
      <c r="V190" s="46" t="s">
        <v>1195</v>
      </c>
      <c r="W190" s="46" t="s">
        <v>24</v>
      </c>
      <c r="X190" s="17" t="s">
        <v>9</v>
      </c>
      <c r="Y190" s="17" t="s">
        <v>348</v>
      </c>
      <c r="Z190" s="17"/>
      <c r="AA190" s="18"/>
      <c r="AB190" s="17" t="s">
        <v>33</v>
      </c>
      <c r="AC190" s="17" t="s">
        <v>1070</v>
      </c>
      <c r="AD190" s="18" t="s">
        <v>1082</v>
      </c>
      <c r="AE190" s="17"/>
      <c r="AF190" s="17"/>
      <c r="AG190" s="59"/>
      <c r="AH190" s="17" t="s">
        <v>325</v>
      </c>
      <c r="AI190" s="59"/>
      <c r="AJ190" s="59"/>
      <c r="AK190" s="59"/>
      <c r="AL190" s="92"/>
      <c r="AM190" s="62"/>
      <c r="AN190" s="62"/>
      <c r="AO190" s="62"/>
      <c r="AP190" s="62"/>
      <c r="AQ190" s="62"/>
      <c r="AR190" s="92">
        <f t="shared" ref="AR190:AR212" si="12">AL190</f>
        <v>0</v>
      </c>
      <c r="AS190" s="59"/>
      <c r="AT190" s="59"/>
      <c r="AU190" s="59"/>
      <c r="AV190" s="59"/>
      <c r="AW190" s="59"/>
      <c r="AX190" s="59"/>
      <c r="AY190" s="62"/>
      <c r="AZ190" s="59"/>
      <c r="BA190" s="59"/>
      <c r="BB190" s="62"/>
      <c r="BC190" s="62"/>
      <c r="BD190" s="107">
        <v>31</v>
      </c>
      <c r="BE190" s="102"/>
      <c r="BF190" s="79"/>
      <c r="BG190" s="107">
        <f>299/30</f>
        <v>9.9666666666666668</v>
      </c>
      <c r="BH190" s="107">
        <f>328/30</f>
        <v>10.933333333333334</v>
      </c>
      <c r="BI190" s="107">
        <f>388/30</f>
        <v>12.933333333333334</v>
      </c>
      <c r="BJ190" s="107">
        <f>200/30</f>
        <v>6.666666666666667</v>
      </c>
      <c r="BK190" s="107">
        <f>430/30</f>
        <v>14.333333333333334</v>
      </c>
      <c r="BL190" s="21"/>
    </row>
    <row r="191" spans="1:64" ht="36" customHeight="1" x14ac:dyDescent="0.3">
      <c r="A191" s="15">
        <v>190</v>
      </c>
      <c r="B191" s="16" t="s">
        <v>1008</v>
      </c>
      <c r="C191" s="15"/>
      <c r="D191" s="17">
        <v>2025</v>
      </c>
      <c r="E191" s="21" t="s">
        <v>699</v>
      </c>
      <c r="F191" s="21" t="s">
        <v>232</v>
      </c>
      <c r="G191" s="44" t="s">
        <v>688</v>
      </c>
      <c r="H191" s="48">
        <v>300000000000</v>
      </c>
      <c r="I191" s="53"/>
      <c r="J191" s="53"/>
      <c r="K191" s="21" t="s">
        <v>241</v>
      </c>
      <c r="L191" s="17" t="s">
        <v>399</v>
      </c>
      <c r="M191" s="17" t="s">
        <v>400</v>
      </c>
      <c r="N191" s="17" t="s">
        <v>90</v>
      </c>
      <c r="O191" s="17" t="s">
        <v>42</v>
      </c>
      <c r="P191" s="21" t="s">
        <v>14</v>
      </c>
      <c r="Q191" s="76">
        <v>188052</v>
      </c>
      <c r="R191" s="76">
        <v>67082.58</v>
      </c>
      <c r="S191" s="72">
        <v>137412.6</v>
      </c>
      <c r="T191" s="58">
        <v>0</v>
      </c>
      <c r="U191" s="59">
        <v>7</v>
      </c>
      <c r="V191" s="46" t="s">
        <v>1195</v>
      </c>
      <c r="W191" s="30" t="s">
        <v>18</v>
      </c>
      <c r="X191" s="17"/>
      <c r="Y191" s="17" t="s">
        <v>348</v>
      </c>
      <c r="Z191" s="17"/>
      <c r="AA191" s="18"/>
      <c r="AB191" s="17" t="s">
        <v>33</v>
      </c>
      <c r="AC191" s="17" t="s">
        <v>1070</v>
      </c>
      <c r="AD191" s="18" t="s">
        <v>1082</v>
      </c>
      <c r="AE191" s="17"/>
      <c r="AF191" s="17"/>
      <c r="AG191" s="59"/>
      <c r="AH191" s="17" t="s">
        <v>285</v>
      </c>
      <c r="AI191" s="59"/>
      <c r="AJ191" s="59"/>
      <c r="AK191" s="59"/>
      <c r="AL191" s="92"/>
      <c r="AM191" s="62"/>
      <c r="AN191" s="62"/>
      <c r="AO191" s="62"/>
      <c r="AP191" s="62"/>
      <c r="AQ191" s="62"/>
      <c r="AR191" s="92">
        <f t="shared" si="12"/>
        <v>0</v>
      </c>
      <c r="AS191" s="59"/>
      <c r="AT191" s="59"/>
      <c r="AU191" s="59"/>
      <c r="AV191" s="59"/>
      <c r="AW191" s="59"/>
      <c r="AX191" s="59"/>
      <c r="AY191" s="62"/>
      <c r="AZ191" s="59"/>
      <c r="BA191" s="59"/>
      <c r="BB191" s="62"/>
      <c r="BC191" s="62"/>
      <c r="BD191" s="107">
        <v>31</v>
      </c>
      <c r="BE191" s="102"/>
      <c r="BF191" s="79"/>
      <c r="BG191" s="107">
        <f>103/30</f>
        <v>3.4333333333333331</v>
      </c>
      <c r="BH191" s="79"/>
      <c r="BI191" s="107">
        <f>222/30</f>
        <v>7.4</v>
      </c>
      <c r="BJ191" s="107">
        <f>120/30</f>
        <v>4</v>
      </c>
      <c r="BK191" s="107">
        <f>199/30</f>
        <v>6.6333333333333337</v>
      </c>
      <c r="BL191" s="21"/>
    </row>
    <row r="192" spans="1:64" ht="36" customHeight="1" x14ac:dyDescent="0.3">
      <c r="A192" s="15">
        <v>191</v>
      </c>
      <c r="B192" s="16" t="s">
        <v>1009</v>
      </c>
      <c r="C192" s="15"/>
      <c r="D192" s="17">
        <v>2026</v>
      </c>
      <c r="E192" s="21" t="s">
        <v>702</v>
      </c>
      <c r="F192" s="21" t="s">
        <v>683</v>
      </c>
      <c r="G192" s="44" t="s">
        <v>687</v>
      </c>
      <c r="H192" s="48">
        <v>150000000000</v>
      </c>
      <c r="I192" s="53"/>
      <c r="J192" s="53"/>
      <c r="K192" s="21" t="s">
        <v>242</v>
      </c>
      <c r="L192" s="17" t="s">
        <v>194</v>
      </c>
      <c r="M192" s="17" t="s">
        <v>195</v>
      </c>
      <c r="N192" s="17" t="s">
        <v>484</v>
      </c>
      <c r="O192" s="17" t="s">
        <v>42</v>
      </c>
      <c r="P192" s="21" t="s">
        <v>7</v>
      </c>
      <c r="Q192" s="76">
        <v>28288.799999999999</v>
      </c>
      <c r="R192" s="70"/>
      <c r="S192" s="72">
        <v>111982.23</v>
      </c>
      <c r="T192" s="58">
        <v>2</v>
      </c>
      <c r="U192" s="59">
        <v>6</v>
      </c>
      <c r="V192" s="46" t="s">
        <v>24</v>
      </c>
      <c r="W192" s="46" t="s">
        <v>24</v>
      </c>
      <c r="X192" s="17" t="s">
        <v>9</v>
      </c>
      <c r="Y192" s="17" t="s">
        <v>348</v>
      </c>
      <c r="Z192" s="17"/>
      <c r="AA192" s="18"/>
      <c r="AB192" s="17" t="s">
        <v>1071</v>
      </c>
      <c r="AC192" s="17" t="s">
        <v>1070</v>
      </c>
      <c r="AD192" s="18" t="s">
        <v>1082</v>
      </c>
      <c r="AE192" s="17"/>
      <c r="AF192" s="17"/>
      <c r="AG192" s="59"/>
      <c r="AH192" s="17" t="s">
        <v>325</v>
      </c>
      <c r="AI192" s="59"/>
      <c r="AJ192" s="59"/>
      <c r="AK192" s="59"/>
      <c r="AL192" s="92"/>
      <c r="AM192" s="65"/>
      <c r="AN192" s="65"/>
      <c r="AO192" s="65"/>
      <c r="AP192" s="65"/>
      <c r="AQ192" s="62"/>
      <c r="AR192" s="92">
        <f t="shared" si="12"/>
        <v>0</v>
      </c>
      <c r="AS192" s="59"/>
      <c r="AT192" s="59"/>
      <c r="AU192" s="59"/>
      <c r="AV192" s="59"/>
      <c r="AW192" s="59"/>
      <c r="AX192" s="59"/>
      <c r="AY192" s="62"/>
      <c r="AZ192" s="59"/>
      <c r="BA192" s="59"/>
      <c r="BB192" s="62"/>
      <c r="BC192" s="62"/>
      <c r="BD192" s="107">
        <v>32</v>
      </c>
      <c r="BE192" s="102"/>
      <c r="BF192" s="79"/>
      <c r="BG192" s="107">
        <f>497/30</f>
        <v>16.566666666666666</v>
      </c>
      <c r="BH192" s="107">
        <f>434/30</f>
        <v>14.466666666666667</v>
      </c>
      <c r="BI192" s="107">
        <f>399/30</f>
        <v>13.3</v>
      </c>
      <c r="BJ192" s="107">
        <f>240/30</f>
        <v>8</v>
      </c>
      <c r="BK192" s="107">
        <f>331/30</f>
        <v>11.033333333333333</v>
      </c>
      <c r="BL192" s="21"/>
    </row>
    <row r="193" spans="1:64" ht="36" customHeight="1" x14ac:dyDescent="0.3">
      <c r="A193" s="15">
        <v>192</v>
      </c>
      <c r="B193" s="16" t="s">
        <v>1009</v>
      </c>
      <c r="C193" s="15"/>
      <c r="D193" s="17">
        <v>2026</v>
      </c>
      <c r="E193" s="21" t="s">
        <v>703</v>
      </c>
      <c r="F193" s="21" t="s">
        <v>683</v>
      </c>
      <c r="G193" s="44" t="s">
        <v>687</v>
      </c>
      <c r="H193" s="48">
        <v>150000000000</v>
      </c>
      <c r="I193" s="53"/>
      <c r="J193" s="53"/>
      <c r="K193" s="21" t="s">
        <v>242</v>
      </c>
      <c r="L193" s="17" t="s">
        <v>194</v>
      </c>
      <c r="M193" s="17" t="s">
        <v>195</v>
      </c>
      <c r="N193" s="17" t="s">
        <v>484</v>
      </c>
      <c r="O193" s="17" t="s">
        <v>42</v>
      </c>
      <c r="P193" s="21" t="s">
        <v>7</v>
      </c>
      <c r="Q193" s="76">
        <v>28288.799999999999</v>
      </c>
      <c r="R193" s="70"/>
      <c r="S193" s="72">
        <v>111982.23</v>
      </c>
      <c r="T193" s="58">
        <v>2</v>
      </c>
      <c r="U193" s="59">
        <v>6</v>
      </c>
      <c r="V193" s="46" t="s">
        <v>18</v>
      </c>
      <c r="W193" s="46" t="s">
        <v>18</v>
      </c>
      <c r="X193" s="17" t="s">
        <v>9</v>
      </c>
      <c r="Y193" s="17" t="s">
        <v>348</v>
      </c>
      <c r="Z193" s="17"/>
      <c r="AA193" s="18"/>
      <c r="AB193" s="17" t="s">
        <v>1071</v>
      </c>
      <c r="AC193" s="17" t="s">
        <v>1070</v>
      </c>
      <c r="AD193" s="18" t="s">
        <v>1082</v>
      </c>
      <c r="AE193" s="17"/>
      <c r="AF193" s="17"/>
      <c r="AG193" s="59"/>
      <c r="AH193" s="17" t="s">
        <v>264</v>
      </c>
      <c r="AI193" s="59"/>
      <c r="AJ193" s="59"/>
      <c r="AK193" s="59"/>
      <c r="AL193" s="92"/>
      <c r="AM193" s="65"/>
      <c r="AN193" s="65"/>
      <c r="AO193" s="65"/>
      <c r="AP193" s="65"/>
      <c r="AQ193" s="62"/>
      <c r="AR193" s="92">
        <f t="shared" si="12"/>
        <v>0</v>
      </c>
      <c r="AS193" s="59"/>
      <c r="AT193" s="59"/>
      <c r="AU193" s="59"/>
      <c r="AV193" s="59"/>
      <c r="AW193" s="59"/>
      <c r="AX193" s="59"/>
      <c r="AY193" s="62"/>
      <c r="AZ193" s="59"/>
      <c r="BA193" s="59"/>
      <c r="BB193" s="62"/>
      <c r="BC193" s="62"/>
      <c r="BD193" s="107">
        <v>30</v>
      </c>
      <c r="BE193" s="102"/>
      <c r="BF193" s="79"/>
      <c r="BG193" s="107">
        <f>491/30</f>
        <v>16.366666666666667</v>
      </c>
      <c r="BH193" s="79"/>
      <c r="BI193" s="107">
        <f>382/30</f>
        <v>12.733333333333333</v>
      </c>
      <c r="BJ193" s="107">
        <v>7.666666666666667</v>
      </c>
      <c r="BK193" s="107">
        <f>252/30</f>
        <v>8.4</v>
      </c>
      <c r="BL193" s="21"/>
    </row>
    <row r="194" spans="1:64" ht="36" customHeight="1" x14ac:dyDescent="0.3">
      <c r="A194" s="15">
        <v>193</v>
      </c>
      <c r="B194" s="16" t="s">
        <v>1046</v>
      </c>
      <c r="C194" s="15"/>
      <c r="D194" s="17">
        <v>2024</v>
      </c>
      <c r="E194" s="21" t="s">
        <v>398</v>
      </c>
      <c r="F194" s="21" t="s">
        <v>233</v>
      </c>
      <c r="G194" s="44" t="s">
        <v>687</v>
      </c>
      <c r="H194" s="48">
        <v>100000000000</v>
      </c>
      <c r="I194" s="53"/>
      <c r="J194" s="53"/>
      <c r="K194" s="21" t="s">
        <v>397</v>
      </c>
      <c r="L194" s="17" t="s">
        <v>84</v>
      </c>
      <c r="M194" s="17" t="s">
        <v>193</v>
      </c>
      <c r="N194" s="17" t="s">
        <v>483</v>
      </c>
      <c r="O194" s="17" t="s">
        <v>42</v>
      </c>
      <c r="P194" s="17" t="s">
        <v>31</v>
      </c>
      <c r="Q194" s="76">
        <v>18629</v>
      </c>
      <c r="R194" s="70"/>
      <c r="S194" s="72">
        <v>35257.85</v>
      </c>
      <c r="T194" s="58">
        <v>3</v>
      </c>
      <c r="U194" s="59">
        <v>4</v>
      </c>
      <c r="V194" s="17" t="s">
        <v>16</v>
      </c>
      <c r="W194" s="30" t="s">
        <v>16</v>
      </c>
      <c r="X194" s="17" t="s">
        <v>9</v>
      </c>
      <c r="Y194" s="17" t="s">
        <v>62</v>
      </c>
      <c r="Z194" s="18"/>
      <c r="AA194" s="18"/>
      <c r="AB194" s="21" t="s">
        <v>1199</v>
      </c>
      <c r="AC194" s="18"/>
      <c r="AD194" s="17" t="s">
        <v>338</v>
      </c>
      <c r="AE194" s="17" t="s">
        <v>261</v>
      </c>
      <c r="AF194" s="17"/>
      <c r="AG194" s="59"/>
      <c r="AH194" s="17" t="s">
        <v>264</v>
      </c>
      <c r="AI194" s="59"/>
      <c r="AJ194" s="59"/>
      <c r="AK194" s="59"/>
      <c r="AL194" s="92"/>
      <c r="AM194" s="62"/>
      <c r="AN194" s="62"/>
      <c r="AO194" s="62"/>
      <c r="AP194" s="62"/>
      <c r="AQ194" s="62"/>
      <c r="AR194" s="92">
        <f t="shared" si="12"/>
        <v>0</v>
      </c>
      <c r="AS194" s="59"/>
      <c r="AT194" s="59"/>
      <c r="AU194" s="59"/>
      <c r="AV194" s="59"/>
      <c r="AW194" s="59"/>
      <c r="AX194" s="59"/>
      <c r="AY194" s="62"/>
      <c r="AZ194" s="59"/>
      <c r="BA194" s="59"/>
      <c r="BB194" s="62"/>
      <c r="BC194" s="62"/>
      <c r="BD194" s="107">
        <v>33</v>
      </c>
      <c r="BE194" s="102"/>
      <c r="BF194" s="79"/>
      <c r="BG194" s="107">
        <v>10.5</v>
      </c>
      <c r="BH194" s="79"/>
      <c r="BI194" s="107">
        <v>11.5</v>
      </c>
      <c r="BJ194" s="107">
        <v>6</v>
      </c>
      <c r="BK194" s="107">
        <v>7</v>
      </c>
      <c r="BL194" s="21"/>
    </row>
    <row r="195" spans="1:64" ht="36" customHeight="1" x14ac:dyDescent="0.3">
      <c r="A195" s="15">
        <v>194</v>
      </c>
      <c r="B195" s="16" t="s">
        <v>1010</v>
      </c>
      <c r="C195" s="15"/>
      <c r="D195" s="17">
        <v>2024</v>
      </c>
      <c r="E195" s="21" t="s">
        <v>224</v>
      </c>
      <c r="F195" s="21" t="s">
        <v>397</v>
      </c>
      <c r="G195" s="44" t="s">
        <v>687</v>
      </c>
      <c r="H195" s="48">
        <v>204210000000</v>
      </c>
      <c r="I195" s="53"/>
      <c r="J195" s="53"/>
      <c r="K195" s="21" t="s">
        <v>242</v>
      </c>
      <c r="L195" s="17" t="s">
        <v>93</v>
      </c>
      <c r="M195" s="17" t="s">
        <v>36</v>
      </c>
      <c r="N195" s="17" t="s">
        <v>199</v>
      </c>
      <c r="O195" s="17" t="s">
        <v>5</v>
      </c>
      <c r="P195" s="17" t="s">
        <v>4</v>
      </c>
      <c r="Q195" s="76"/>
      <c r="R195" s="76"/>
      <c r="S195" s="72">
        <v>126114.91</v>
      </c>
      <c r="T195" s="58">
        <v>3</v>
      </c>
      <c r="U195" s="59">
        <v>31</v>
      </c>
      <c r="V195" s="15"/>
      <c r="W195" s="15"/>
      <c r="X195" s="17"/>
      <c r="Y195" s="18"/>
      <c r="Z195" s="18"/>
      <c r="AA195" s="18"/>
      <c r="AB195" s="18"/>
      <c r="AC195" s="18"/>
      <c r="AD195" s="17"/>
      <c r="AE195" s="17"/>
      <c r="AF195" s="17"/>
      <c r="AG195" s="59"/>
      <c r="AH195" s="18"/>
      <c r="AI195" s="85"/>
      <c r="AJ195" s="85"/>
      <c r="AK195" s="85"/>
      <c r="AL195" s="92"/>
      <c r="AM195" s="62"/>
      <c r="AN195" s="62"/>
      <c r="AO195" s="62"/>
      <c r="AP195" s="62"/>
      <c r="AQ195" s="62"/>
      <c r="AR195" s="92">
        <f t="shared" si="12"/>
        <v>0</v>
      </c>
      <c r="AS195" s="85"/>
      <c r="AT195" s="85"/>
      <c r="AU195" s="85"/>
      <c r="AV195" s="85"/>
      <c r="AW195" s="85"/>
      <c r="AX195" s="85"/>
      <c r="AY195" s="92"/>
      <c r="AZ195" s="85"/>
      <c r="BA195" s="85"/>
      <c r="BB195" s="92"/>
      <c r="BC195" s="92"/>
      <c r="BD195" s="107">
        <v>13</v>
      </c>
      <c r="BE195" s="107"/>
      <c r="BF195" s="79">
        <v>4.5</v>
      </c>
      <c r="BG195" s="79"/>
      <c r="BH195" s="79"/>
      <c r="BI195" s="79"/>
      <c r="BJ195" s="79">
        <v>8</v>
      </c>
      <c r="BK195" s="79">
        <v>7</v>
      </c>
      <c r="BL195" s="21"/>
    </row>
    <row r="196" spans="1:64" ht="36" customHeight="1" x14ac:dyDescent="0.3">
      <c r="A196" s="15">
        <v>195</v>
      </c>
      <c r="B196" s="16" t="s">
        <v>1011</v>
      </c>
      <c r="C196" s="16" t="s">
        <v>1012</v>
      </c>
      <c r="D196" s="17">
        <v>2025</v>
      </c>
      <c r="E196" s="21" t="s">
        <v>700</v>
      </c>
      <c r="F196" s="21" t="s">
        <v>396</v>
      </c>
      <c r="G196" s="19" t="s">
        <v>35</v>
      </c>
      <c r="H196" s="48">
        <v>152730000000</v>
      </c>
      <c r="I196" s="53"/>
      <c r="J196" s="53"/>
      <c r="K196" s="21" t="s">
        <v>242</v>
      </c>
      <c r="L196" s="17" t="s">
        <v>129</v>
      </c>
      <c r="M196" s="17" t="s">
        <v>147</v>
      </c>
      <c r="N196" s="17" t="s">
        <v>90</v>
      </c>
      <c r="O196" s="17" t="s">
        <v>42</v>
      </c>
      <c r="P196" s="21" t="s">
        <v>7</v>
      </c>
      <c r="Q196" s="76">
        <v>22203.17</v>
      </c>
      <c r="R196" s="76">
        <v>15514.51</v>
      </c>
      <c r="S196" s="72">
        <v>127265.73</v>
      </c>
      <c r="T196" s="58">
        <v>1</v>
      </c>
      <c r="U196" s="59">
        <v>10</v>
      </c>
      <c r="V196" s="46" t="s">
        <v>18</v>
      </c>
      <c r="W196" s="46" t="s">
        <v>18</v>
      </c>
      <c r="X196" s="17" t="s">
        <v>9</v>
      </c>
      <c r="Y196" s="17" t="s">
        <v>62</v>
      </c>
      <c r="Z196" s="17"/>
      <c r="AA196" s="18"/>
      <c r="AB196" s="21" t="s">
        <v>1072</v>
      </c>
      <c r="AC196" s="21" t="s">
        <v>20</v>
      </c>
      <c r="AD196" s="18" t="s">
        <v>1082</v>
      </c>
      <c r="AE196" s="17"/>
      <c r="AF196" s="17"/>
      <c r="AG196" s="59"/>
      <c r="AH196" s="17" t="s">
        <v>264</v>
      </c>
      <c r="AI196" s="59"/>
      <c r="AJ196" s="59"/>
      <c r="AK196" s="59"/>
      <c r="AL196" s="92"/>
      <c r="AM196" s="65"/>
      <c r="AN196" s="65"/>
      <c r="AO196" s="65"/>
      <c r="AP196" s="65"/>
      <c r="AQ196" s="65"/>
      <c r="AR196" s="92">
        <f t="shared" si="12"/>
        <v>0</v>
      </c>
      <c r="AS196" s="59"/>
      <c r="AT196" s="59"/>
      <c r="AU196" s="59"/>
      <c r="AV196" s="59"/>
      <c r="AW196" s="59"/>
      <c r="AX196" s="59"/>
      <c r="AY196" s="62"/>
      <c r="AZ196" s="59"/>
      <c r="BA196" s="59"/>
      <c r="BB196" s="62"/>
      <c r="BC196" s="62"/>
      <c r="BD196" s="107">
        <v>27</v>
      </c>
      <c r="BE196" s="102"/>
      <c r="BF196" s="79"/>
      <c r="BG196" s="107">
        <f>300/30</f>
        <v>10</v>
      </c>
      <c r="BH196" s="79"/>
      <c r="BI196" s="107">
        <f>354/30</f>
        <v>11.8</v>
      </c>
      <c r="BJ196" s="107">
        <f>200/30</f>
        <v>6.666666666666667</v>
      </c>
      <c r="BK196" s="107">
        <f>252/30</f>
        <v>8.4</v>
      </c>
      <c r="BL196" s="21"/>
    </row>
    <row r="197" spans="1:64" ht="36" customHeight="1" x14ac:dyDescent="0.3">
      <c r="A197" s="15">
        <v>196</v>
      </c>
      <c r="B197" s="16" t="s">
        <v>1011</v>
      </c>
      <c r="C197" s="16" t="s">
        <v>1012</v>
      </c>
      <c r="D197" s="17">
        <v>2025</v>
      </c>
      <c r="E197" s="21" t="s">
        <v>701</v>
      </c>
      <c r="F197" s="21" t="s">
        <v>396</v>
      </c>
      <c r="G197" s="19" t="s">
        <v>35</v>
      </c>
      <c r="H197" s="48">
        <v>152730000000</v>
      </c>
      <c r="I197" s="53"/>
      <c r="J197" s="53"/>
      <c r="K197" s="21" t="s">
        <v>242</v>
      </c>
      <c r="L197" s="17" t="s">
        <v>129</v>
      </c>
      <c r="M197" s="17" t="s">
        <v>147</v>
      </c>
      <c r="N197" s="17" t="s">
        <v>90</v>
      </c>
      <c r="O197" s="17" t="s">
        <v>42</v>
      </c>
      <c r="P197" s="21" t="s">
        <v>7</v>
      </c>
      <c r="Q197" s="76">
        <v>22203.17</v>
      </c>
      <c r="R197" s="76">
        <v>15514.51</v>
      </c>
      <c r="S197" s="72">
        <v>127265.73</v>
      </c>
      <c r="T197" s="58">
        <v>1</v>
      </c>
      <c r="U197" s="59">
        <v>10</v>
      </c>
      <c r="V197" s="46" t="s">
        <v>24</v>
      </c>
      <c r="W197" s="30" t="s">
        <v>24</v>
      </c>
      <c r="X197" s="17" t="s">
        <v>9</v>
      </c>
      <c r="Y197" s="17" t="s">
        <v>62</v>
      </c>
      <c r="Z197" s="17"/>
      <c r="AA197" s="18"/>
      <c r="AB197" s="21" t="s">
        <v>1072</v>
      </c>
      <c r="AC197" s="21" t="s">
        <v>20</v>
      </c>
      <c r="AD197" s="18" t="s">
        <v>1082</v>
      </c>
      <c r="AE197" s="17"/>
      <c r="AF197" s="17"/>
      <c r="AG197" s="59"/>
      <c r="AH197" s="17" t="s">
        <v>264</v>
      </c>
      <c r="AI197" s="59"/>
      <c r="AJ197" s="59"/>
      <c r="AK197" s="59"/>
      <c r="AL197" s="92"/>
      <c r="AM197" s="65"/>
      <c r="AN197" s="65"/>
      <c r="AO197" s="65"/>
      <c r="AP197" s="65"/>
      <c r="AQ197" s="65"/>
      <c r="AR197" s="92">
        <f t="shared" si="12"/>
        <v>0</v>
      </c>
      <c r="AS197" s="59"/>
      <c r="AT197" s="59"/>
      <c r="AU197" s="59"/>
      <c r="AV197" s="59"/>
      <c r="AW197" s="59"/>
      <c r="AX197" s="59"/>
      <c r="AY197" s="62"/>
      <c r="AZ197" s="59"/>
      <c r="BA197" s="59"/>
      <c r="BB197" s="62"/>
      <c r="BC197" s="62"/>
      <c r="BD197" s="107">
        <v>31</v>
      </c>
      <c r="BE197" s="102"/>
      <c r="BF197" s="79"/>
      <c r="BG197" s="107">
        <f>307/30</f>
        <v>10.233333333333333</v>
      </c>
      <c r="BH197" s="107">
        <f>506/30</f>
        <v>16.866666666666667</v>
      </c>
      <c r="BI197" s="107">
        <f>417/30</f>
        <v>13.9</v>
      </c>
      <c r="BJ197" s="107">
        <f>300/30</f>
        <v>10</v>
      </c>
      <c r="BK197" s="107">
        <f>331/30</f>
        <v>11.033333333333333</v>
      </c>
      <c r="BL197" s="21"/>
    </row>
    <row r="198" spans="1:64" ht="36" customHeight="1" x14ac:dyDescent="0.3">
      <c r="A198" s="15">
        <v>197</v>
      </c>
      <c r="B198" s="16" t="s">
        <v>1013</v>
      </c>
      <c r="C198" s="15"/>
      <c r="D198" s="17">
        <v>2025</v>
      </c>
      <c r="E198" s="21" t="s">
        <v>1101</v>
      </c>
      <c r="F198" s="21" t="s">
        <v>1102</v>
      </c>
      <c r="G198" s="44" t="s">
        <v>35</v>
      </c>
      <c r="H198" s="48">
        <v>81000000000</v>
      </c>
      <c r="I198" s="53"/>
      <c r="J198" s="53"/>
      <c r="K198" s="21" t="s">
        <v>242</v>
      </c>
      <c r="L198" s="17" t="s">
        <v>93</v>
      </c>
      <c r="M198" s="17" t="s">
        <v>131</v>
      </c>
      <c r="N198" s="17" t="s">
        <v>199</v>
      </c>
      <c r="O198" s="17" t="s">
        <v>42</v>
      </c>
      <c r="P198" s="17" t="s">
        <v>4</v>
      </c>
      <c r="Q198" s="76"/>
      <c r="R198" s="76">
        <v>1790</v>
      </c>
      <c r="S198" s="72">
        <v>33327.93</v>
      </c>
      <c r="T198" s="58">
        <v>5</v>
      </c>
      <c r="U198" s="59">
        <v>12</v>
      </c>
      <c r="V198" s="15" t="s">
        <v>16</v>
      </c>
      <c r="W198" s="30" t="s">
        <v>16</v>
      </c>
      <c r="X198" s="17" t="s">
        <v>64</v>
      </c>
      <c r="Y198" s="18"/>
      <c r="Z198" s="21" t="s">
        <v>1074</v>
      </c>
      <c r="AA198" s="17" t="s">
        <v>41</v>
      </c>
      <c r="AB198" s="21" t="s">
        <v>1202</v>
      </c>
      <c r="AC198" s="18" t="s">
        <v>1103</v>
      </c>
      <c r="AD198" s="17" t="s">
        <v>1211</v>
      </c>
      <c r="AE198" s="21" t="s">
        <v>265</v>
      </c>
      <c r="AF198" s="21"/>
      <c r="AG198" s="66"/>
      <c r="AH198" s="17" t="s">
        <v>264</v>
      </c>
      <c r="AI198" s="59"/>
      <c r="AJ198" s="59"/>
      <c r="AK198" s="59"/>
      <c r="AL198" s="92"/>
      <c r="AM198" s="62"/>
      <c r="AN198" s="62"/>
      <c r="AO198" s="62"/>
      <c r="AP198" s="62"/>
      <c r="AQ198" s="62"/>
      <c r="AR198" s="92">
        <f t="shared" si="12"/>
        <v>0</v>
      </c>
      <c r="AS198" s="59"/>
      <c r="AT198" s="59"/>
      <c r="AU198" s="59"/>
      <c r="AV198" s="59"/>
      <c r="AW198" s="59"/>
      <c r="AX198" s="59"/>
      <c r="AY198" s="62"/>
      <c r="AZ198" s="59"/>
      <c r="BA198" s="59"/>
      <c r="BB198" s="62"/>
      <c r="BC198" s="62"/>
      <c r="BD198" s="107">
        <v>33</v>
      </c>
      <c r="BE198" s="107"/>
      <c r="BF198" s="79"/>
      <c r="BG198" s="79">
        <v>16.5</v>
      </c>
      <c r="BH198" s="79"/>
      <c r="BI198" s="79">
        <v>21</v>
      </c>
      <c r="BJ198" s="79">
        <f>210/30</f>
        <v>7</v>
      </c>
      <c r="BK198" s="79">
        <f>285/30</f>
        <v>9.5</v>
      </c>
      <c r="BL198" s="17"/>
    </row>
    <row r="199" spans="1:64" ht="36" customHeight="1" x14ac:dyDescent="0.3">
      <c r="A199" s="15">
        <v>198</v>
      </c>
      <c r="B199" s="16" t="s">
        <v>1013</v>
      </c>
      <c r="C199" s="15"/>
      <c r="D199" s="17">
        <v>2025</v>
      </c>
      <c r="E199" s="21" t="s">
        <v>1104</v>
      </c>
      <c r="F199" s="21" t="s">
        <v>1102</v>
      </c>
      <c r="G199" s="44" t="s">
        <v>35</v>
      </c>
      <c r="H199" s="48">
        <v>81000000000</v>
      </c>
      <c r="I199" s="53"/>
      <c r="J199" s="53"/>
      <c r="K199" s="21" t="s">
        <v>242</v>
      </c>
      <c r="L199" s="17" t="s">
        <v>93</v>
      </c>
      <c r="M199" s="17" t="s">
        <v>131</v>
      </c>
      <c r="N199" s="17" t="s">
        <v>199</v>
      </c>
      <c r="O199" s="17" t="s">
        <v>42</v>
      </c>
      <c r="P199" s="17" t="s">
        <v>4</v>
      </c>
      <c r="Q199" s="76"/>
      <c r="R199" s="76">
        <v>1790</v>
      </c>
      <c r="S199" s="72">
        <v>33327.93</v>
      </c>
      <c r="T199" s="58">
        <v>5</v>
      </c>
      <c r="U199" s="59">
        <v>12</v>
      </c>
      <c r="V199" s="15" t="s">
        <v>18</v>
      </c>
      <c r="W199" s="30" t="s">
        <v>18</v>
      </c>
      <c r="X199" s="17" t="s">
        <v>64</v>
      </c>
      <c r="Y199" s="18"/>
      <c r="Z199" s="18" t="s">
        <v>1075</v>
      </c>
      <c r="AA199" s="17" t="s">
        <v>41</v>
      </c>
      <c r="AB199" s="21" t="s">
        <v>1201</v>
      </c>
      <c r="AC199" s="18" t="s">
        <v>1105</v>
      </c>
      <c r="AD199" s="17" t="s">
        <v>1211</v>
      </c>
      <c r="AE199" s="21" t="s">
        <v>265</v>
      </c>
      <c r="AF199" s="21"/>
      <c r="AG199" s="66"/>
      <c r="AH199" s="17" t="s">
        <v>264</v>
      </c>
      <c r="AI199" s="59"/>
      <c r="AJ199" s="59"/>
      <c r="AK199" s="59"/>
      <c r="AL199" s="92"/>
      <c r="AM199" s="62"/>
      <c r="AN199" s="62"/>
      <c r="AO199" s="62"/>
      <c r="AP199" s="62"/>
      <c r="AQ199" s="62"/>
      <c r="AR199" s="92">
        <f t="shared" si="12"/>
        <v>0</v>
      </c>
      <c r="AS199" s="59"/>
      <c r="AT199" s="59"/>
      <c r="AU199" s="59"/>
      <c r="AV199" s="59"/>
      <c r="AW199" s="59"/>
      <c r="AX199" s="59"/>
      <c r="AY199" s="62"/>
      <c r="AZ199" s="59"/>
      <c r="BA199" s="59"/>
      <c r="BB199" s="62"/>
      <c r="BC199" s="62"/>
      <c r="BD199" s="107">
        <v>30</v>
      </c>
      <c r="BE199" s="107"/>
      <c r="BF199" s="79"/>
      <c r="BG199" s="79">
        <v>16.5</v>
      </c>
      <c r="BH199" s="79"/>
      <c r="BI199" s="79">
        <v>17</v>
      </c>
      <c r="BJ199" s="79">
        <v>7</v>
      </c>
      <c r="BK199" s="79">
        <v>9.5</v>
      </c>
      <c r="BL199" s="17"/>
    </row>
    <row r="200" spans="1:64" ht="36" customHeight="1" x14ac:dyDescent="0.3">
      <c r="A200" s="15">
        <v>199</v>
      </c>
      <c r="B200" s="16" t="s">
        <v>1047</v>
      </c>
      <c r="C200" s="15"/>
      <c r="D200" s="17">
        <v>2025</v>
      </c>
      <c r="E200" s="21" t="s">
        <v>684</v>
      </c>
      <c r="F200" s="21" t="s">
        <v>235</v>
      </c>
      <c r="G200" s="44" t="s">
        <v>687</v>
      </c>
      <c r="H200" s="48">
        <v>360000000000</v>
      </c>
      <c r="I200" s="53"/>
      <c r="J200" s="53"/>
      <c r="K200" s="21" t="s">
        <v>242</v>
      </c>
      <c r="L200" s="17" t="s">
        <v>120</v>
      </c>
      <c r="M200" s="17" t="s">
        <v>196</v>
      </c>
      <c r="N200" s="17" t="s">
        <v>484</v>
      </c>
      <c r="O200" s="17" t="s">
        <v>42</v>
      </c>
      <c r="P200" s="17" t="s">
        <v>7</v>
      </c>
      <c r="Q200" s="76">
        <v>31242</v>
      </c>
      <c r="R200" s="76">
        <v>21528.38</v>
      </c>
      <c r="S200" s="72">
        <v>131456.37</v>
      </c>
      <c r="T200" s="58">
        <v>2</v>
      </c>
      <c r="U200" s="59">
        <v>5</v>
      </c>
      <c r="V200" s="46" t="s">
        <v>24</v>
      </c>
      <c r="W200" s="30" t="s">
        <v>24</v>
      </c>
      <c r="X200" s="17" t="s">
        <v>9</v>
      </c>
      <c r="Y200" s="17" t="s">
        <v>348</v>
      </c>
      <c r="Z200" s="17"/>
      <c r="AA200" s="18"/>
      <c r="AB200" s="21" t="s">
        <v>1199</v>
      </c>
      <c r="AC200" s="21" t="s">
        <v>1063</v>
      </c>
      <c r="AD200" s="18" t="s">
        <v>1082</v>
      </c>
      <c r="AE200" s="17"/>
      <c r="AF200" s="17"/>
      <c r="AG200" s="59"/>
      <c r="AH200" s="17" t="s">
        <v>264</v>
      </c>
      <c r="AI200" s="59"/>
      <c r="AJ200" s="59"/>
      <c r="AK200" s="59"/>
      <c r="AL200" s="92"/>
      <c r="AM200" s="62"/>
      <c r="AN200" s="62"/>
      <c r="AO200" s="62"/>
      <c r="AP200" s="62"/>
      <c r="AQ200" s="62"/>
      <c r="AR200" s="92">
        <f t="shared" si="12"/>
        <v>0</v>
      </c>
      <c r="AS200" s="59"/>
      <c r="AT200" s="59"/>
      <c r="AU200" s="59"/>
      <c r="AV200" s="59"/>
      <c r="AW200" s="59"/>
      <c r="AX200" s="59"/>
      <c r="AY200" s="62"/>
      <c r="AZ200" s="59"/>
      <c r="BA200" s="59"/>
      <c r="BB200" s="62"/>
      <c r="BC200" s="62"/>
      <c r="BD200" s="107">
        <v>31</v>
      </c>
      <c r="BE200" s="102"/>
      <c r="BF200" s="79"/>
      <c r="BG200" s="107">
        <f>517/30</f>
        <v>17.233333333333334</v>
      </c>
      <c r="BH200" s="107">
        <f>426/30</f>
        <v>14.2</v>
      </c>
      <c r="BI200" s="107">
        <f>379/30</f>
        <v>12.633333333333333</v>
      </c>
      <c r="BJ200" s="107">
        <v>6.666666666666667</v>
      </c>
      <c r="BK200" s="107">
        <v>9.0333333333333332</v>
      </c>
      <c r="BL200" s="21"/>
    </row>
    <row r="201" spans="1:64" ht="36" customHeight="1" x14ac:dyDescent="0.3">
      <c r="A201" s="15">
        <v>200</v>
      </c>
      <c r="B201" s="16" t="s">
        <v>1048</v>
      </c>
      <c r="C201" s="15"/>
      <c r="D201" s="17">
        <v>2025</v>
      </c>
      <c r="E201" s="21" t="s">
        <v>685</v>
      </c>
      <c r="F201" s="21" t="s">
        <v>235</v>
      </c>
      <c r="G201" s="44" t="s">
        <v>687</v>
      </c>
      <c r="H201" s="48">
        <v>360000000000</v>
      </c>
      <c r="I201" s="53"/>
      <c r="J201" s="53"/>
      <c r="K201" s="21" t="s">
        <v>242</v>
      </c>
      <c r="L201" s="17" t="s">
        <v>120</v>
      </c>
      <c r="M201" s="17" t="s">
        <v>196</v>
      </c>
      <c r="N201" s="17" t="s">
        <v>484</v>
      </c>
      <c r="O201" s="17" t="s">
        <v>42</v>
      </c>
      <c r="P201" s="17" t="s">
        <v>7</v>
      </c>
      <c r="Q201" s="76">
        <v>44520</v>
      </c>
      <c r="R201" s="76">
        <v>30851.86</v>
      </c>
      <c r="S201" s="72">
        <v>178185.96</v>
      </c>
      <c r="T201" s="58">
        <v>2</v>
      </c>
      <c r="U201" s="59">
        <v>5</v>
      </c>
      <c r="V201" s="46" t="s">
        <v>24</v>
      </c>
      <c r="W201" s="30" t="s">
        <v>24</v>
      </c>
      <c r="X201" s="17" t="s">
        <v>9</v>
      </c>
      <c r="Y201" s="17" t="s">
        <v>348</v>
      </c>
      <c r="Z201" s="17"/>
      <c r="AA201" s="18"/>
      <c r="AB201" s="21" t="s">
        <v>1199</v>
      </c>
      <c r="AC201" s="21" t="s">
        <v>1063</v>
      </c>
      <c r="AD201" s="18" t="s">
        <v>1082</v>
      </c>
      <c r="AE201" s="17"/>
      <c r="AF201" s="17"/>
      <c r="AG201" s="59"/>
      <c r="AH201" s="17" t="s">
        <v>264</v>
      </c>
      <c r="AI201" s="59"/>
      <c r="AJ201" s="59"/>
      <c r="AK201" s="59"/>
      <c r="AL201" s="92"/>
      <c r="AM201" s="62"/>
      <c r="AN201" s="62"/>
      <c r="AO201" s="62"/>
      <c r="AP201" s="62"/>
      <c r="AQ201" s="62"/>
      <c r="AR201" s="92">
        <f t="shared" si="12"/>
        <v>0</v>
      </c>
      <c r="AS201" s="59"/>
      <c r="AT201" s="59"/>
      <c r="AU201" s="59"/>
      <c r="AV201" s="59"/>
      <c r="AW201" s="59"/>
      <c r="AX201" s="59"/>
      <c r="AY201" s="62"/>
      <c r="AZ201" s="59"/>
      <c r="BA201" s="59"/>
      <c r="BB201" s="62"/>
      <c r="BC201" s="62"/>
      <c r="BD201" s="107">
        <v>36</v>
      </c>
      <c r="BE201" s="102"/>
      <c r="BF201" s="79"/>
      <c r="BG201" s="107">
        <f>588/30</f>
        <v>19.600000000000001</v>
      </c>
      <c r="BH201" s="107">
        <f>483/30</f>
        <v>16.100000000000001</v>
      </c>
      <c r="BI201" s="107">
        <f>508/30</f>
        <v>16.933333333333334</v>
      </c>
      <c r="BJ201" s="107">
        <f>250/30</f>
        <v>8.3333333333333339</v>
      </c>
      <c r="BK201" s="107">
        <f>330/30</f>
        <v>11</v>
      </c>
      <c r="BL201" s="21"/>
    </row>
    <row r="202" spans="1:64" ht="36" customHeight="1" x14ac:dyDescent="0.3">
      <c r="A202" s="15">
        <v>201</v>
      </c>
      <c r="B202" s="16" t="s">
        <v>1014</v>
      </c>
      <c r="C202" s="15"/>
      <c r="D202" s="17">
        <v>2025</v>
      </c>
      <c r="E202" s="21" t="s">
        <v>602</v>
      </c>
      <c r="F202" s="21" t="s">
        <v>397</v>
      </c>
      <c r="G202" s="44" t="s">
        <v>687</v>
      </c>
      <c r="H202" s="48">
        <v>90000000000</v>
      </c>
      <c r="I202" s="53"/>
      <c r="J202" s="53"/>
      <c r="K202" s="21" t="s">
        <v>242</v>
      </c>
      <c r="L202" s="17" t="s">
        <v>93</v>
      </c>
      <c r="M202" s="17" t="s">
        <v>36</v>
      </c>
      <c r="N202" s="17" t="s">
        <v>199</v>
      </c>
      <c r="O202" s="17" t="s">
        <v>5</v>
      </c>
      <c r="P202" s="17" t="s">
        <v>4</v>
      </c>
      <c r="Q202" s="72"/>
      <c r="R202" s="72"/>
      <c r="S202" s="72">
        <v>51361.96126311316</v>
      </c>
      <c r="T202" s="58">
        <v>6</v>
      </c>
      <c r="U202" s="59">
        <v>20</v>
      </c>
      <c r="V202" s="15"/>
      <c r="W202" s="15"/>
      <c r="X202" s="17"/>
      <c r="Y202" s="18"/>
      <c r="Z202" s="18"/>
      <c r="AA202" s="18"/>
      <c r="AB202" s="18"/>
      <c r="AC202" s="18"/>
      <c r="AD202" s="17"/>
      <c r="AE202" s="17"/>
      <c r="AF202" s="17"/>
      <c r="AG202" s="59"/>
      <c r="AH202" s="18"/>
      <c r="AI202" s="85"/>
      <c r="AJ202" s="85"/>
      <c r="AK202" s="85"/>
      <c r="AL202" s="92"/>
      <c r="AM202" s="62"/>
      <c r="AN202" s="62"/>
      <c r="AO202" s="62"/>
      <c r="AP202" s="62"/>
      <c r="AQ202" s="62"/>
      <c r="AR202" s="92">
        <f t="shared" si="12"/>
        <v>0</v>
      </c>
      <c r="AS202" s="85"/>
      <c r="AT202" s="85"/>
      <c r="AU202" s="85"/>
      <c r="AV202" s="85"/>
      <c r="AW202" s="85"/>
      <c r="AX202" s="85"/>
      <c r="AY202" s="92"/>
      <c r="AZ202" s="85"/>
      <c r="BA202" s="85"/>
      <c r="BB202" s="92"/>
      <c r="BC202" s="92"/>
      <c r="BD202" s="107">
        <v>21</v>
      </c>
      <c r="BE202" s="107"/>
      <c r="BF202" s="79">
        <v>4.3</v>
      </c>
      <c r="BG202" s="79"/>
      <c r="BH202" s="79"/>
      <c r="BI202" s="79">
        <v>3.5</v>
      </c>
      <c r="BJ202" s="79">
        <v>7.1</v>
      </c>
      <c r="BK202" s="79">
        <v>9.9</v>
      </c>
      <c r="BL202" s="21"/>
    </row>
    <row r="203" spans="1:64" ht="36" customHeight="1" x14ac:dyDescent="0.3">
      <c r="A203" s="15">
        <v>202</v>
      </c>
      <c r="B203" s="16" t="s">
        <v>1015</v>
      </c>
      <c r="C203" s="15"/>
      <c r="D203" s="17">
        <v>2025</v>
      </c>
      <c r="E203" s="21" t="s">
        <v>376</v>
      </c>
      <c r="F203" s="21" t="s">
        <v>237</v>
      </c>
      <c r="G203" s="44" t="s">
        <v>687</v>
      </c>
      <c r="H203" s="48">
        <v>224000000000</v>
      </c>
      <c r="I203" s="53"/>
      <c r="J203" s="53"/>
      <c r="K203" s="21" t="s">
        <v>242</v>
      </c>
      <c r="L203" s="17" t="s">
        <v>158</v>
      </c>
      <c r="M203" s="21" t="s">
        <v>163</v>
      </c>
      <c r="N203" s="17" t="s">
        <v>482</v>
      </c>
      <c r="O203" s="17" t="s">
        <v>42</v>
      </c>
      <c r="P203" s="17" t="s">
        <v>4</v>
      </c>
      <c r="Q203" s="76">
        <v>9747</v>
      </c>
      <c r="R203" s="76">
        <v>5735.42</v>
      </c>
      <c r="S203" s="72">
        <v>78062.080000000002</v>
      </c>
      <c r="T203" s="58">
        <v>5</v>
      </c>
      <c r="U203" s="59">
        <v>10</v>
      </c>
      <c r="V203" s="46" t="s">
        <v>18</v>
      </c>
      <c r="W203" s="30" t="s">
        <v>16</v>
      </c>
      <c r="X203" s="17" t="s">
        <v>64</v>
      </c>
      <c r="Y203" s="17" t="s">
        <v>62</v>
      </c>
      <c r="Z203" s="21" t="s">
        <v>1074</v>
      </c>
      <c r="AA203" s="17" t="s">
        <v>41</v>
      </c>
      <c r="AB203" s="21" t="s">
        <v>20</v>
      </c>
      <c r="AC203" s="18"/>
      <c r="AD203" s="17" t="s">
        <v>375</v>
      </c>
      <c r="AE203" s="21" t="s">
        <v>265</v>
      </c>
      <c r="AF203" s="21"/>
      <c r="AG203" s="66"/>
      <c r="AH203" s="17" t="s">
        <v>374</v>
      </c>
      <c r="AI203" s="59"/>
      <c r="AJ203" s="59"/>
      <c r="AK203" s="59"/>
      <c r="AL203" s="92"/>
      <c r="AM203" s="65"/>
      <c r="AN203" s="65"/>
      <c r="AO203" s="65"/>
      <c r="AP203" s="65"/>
      <c r="AQ203" s="62"/>
      <c r="AR203" s="92">
        <f t="shared" si="12"/>
        <v>0</v>
      </c>
      <c r="AS203" s="59"/>
      <c r="AT203" s="59"/>
      <c r="AU203" s="59"/>
      <c r="AV203" s="59"/>
      <c r="AW203" s="59"/>
      <c r="AX203" s="59"/>
      <c r="AY203" s="62"/>
      <c r="AZ203" s="59"/>
      <c r="BA203" s="59"/>
      <c r="BB203" s="62"/>
      <c r="BC203" s="62"/>
      <c r="BD203" s="107">
        <v>35</v>
      </c>
      <c r="BE203" s="102"/>
      <c r="BF203" s="79"/>
      <c r="BG203" s="107">
        <f>444/30</f>
        <v>14.8</v>
      </c>
      <c r="BH203" s="79"/>
      <c r="BI203" s="107">
        <f>487/30</f>
        <v>16.233333333333334</v>
      </c>
      <c r="BJ203" s="107">
        <f>220/30</f>
        <v>7.333333333333333</v>
      </c>
      <c r="BK203" s="107">
        <f>280/30</f>
        <v>9.3333333333333339</v>
      </c>
      <c r="BL203" s="21"/>
    </row>
    <row r="204" spans="1:64" ht="36" customHeight="1" x14ac:dyDescent="0.3">
      <c r="A204" s="15">
        <v>203</v>
      </c>
      <c r="B204" s="16" t="s">
        <v>1016</v>
      </c>
      <c r="C204" s="15"/>
      <c r="D204" s="17">
        <v>2025</v>
      </c>
      <c r="E204" s="21" t="s">
        <v>373</v>
      </c>
      <c r="F204" s="21" t="s">
        <v>237</v>
      </c>
      <c r="G204" s="44" t="s">
        <v>687</v>
      </c>
      <c r="H204" s="48">
        <v>73200000000</v>
      </c>
      <c r="I204" s="53"/>
      <c r="J204" s="53"/>
      <c r="K204" s="21" t="s">
        <v>242</v>
      </c>
      <c r="L204" s="17" t="s">
        <v>158</v>
      </c>
      <c r="M204" s="21" t="s">
        <v>163</v>
      </c>
      <c r="N204" s="17" t="s">
        <v>482</v>
      </c>
      <c r="O204" s="17" t="s">
        <v>42</v>
      </c>
      <c r="P204" s="17" t="s">
        <v>4</v>
      </c>
      <c r="Q204" s="76">
        <v>3470</v>
      </c>
      <c r="R204" s="76">
        <v>1970.33</v>
      </c>
      <c r="S204" s="72">
        <v>28406.81</v>
      </c>
      <c r="T204" s="58">
        <v>6</v>
      </c>
      <c r="U204" s="59">
        <v>11</v>
      </c>
      <c r="V204" s="46" t="s">
        <v>18</v>
      </c>
      <c r="W204" s="30" t="s">
        <v>16</v>
      </c>
      <c r="X204" s="17" t="s">
        <v>64</v>
      </c>
      <c r="Y204" s="17" t="s">
        <v>62</v>
      </c>
      <c r="Z204" s="21" t="s">
        <v>1074</v>
      </c>
      <c r="AA204" s="17" t="s">
        <v>41</v>
      </c>
      <c r="AB204" s="21" t="s">
        <v>20</v>
      </c>
      <c r="AC204" s="18"/>
      <c r="AD204" s="17" t="s">
        <v>375</v>
      </c>
      <c r="AE204" s="21" t="s">
        <v>265</v>
      </c>
      <c r="AF204" s="21"/>
      <c r="AG204" s="66"/>
      <c r="AH204" s="17" t="s">
        <v>374</v>
      </c>
      <c r="AI204" s="59"/>
      <c r="AJ204" s="59"/>
      <c r="AK204" s="59"/>
      <c r="AL204" s="92"/>
      <c r="AM204" s="65"/>
      <c r="AN204" s="62"/>
      <c r="AO204" s="65"/>
      <c r="AP204" s="65"/>
      <c r="AQ204" s="65"/>
      <c r="AR204" s="92">
        <f t="shared" si="12"/>
        <v>0</v>
      </c>
      <c r="AS204" s="59"/>
      <c r="AT204" s="59"/>
      <c r="AU204" s="59"/>
      <c r="AV204" s="59"/>
      <c r="AW204" s="59"/>
      <c r="AX204" s="59"/>
      <c r="AY204" s="62"/>
      <c r="AZ204" s="59"/>
      <c r="BA204" s="59"/>
      <c r="BB204" s="62"/>
      <c r="BC204" s="62"/>
      <c r="BD204" s="107">
        <v>35</v>
      </c>
      <c r="BE204" s="102"/>
      <c r="BF204" s="79"/>
      <c r="BG204" s="107">
        <f>395/30</f>
        <v>13.166666666666666</v>
      </c>
      <c r="BH204" s="79"/>
      <c r="BI204" s="107">
        <f>636/30</f>
        <v>21.2</v>
      </c>
      <c r="BJ204" s="107">
        <f>220/30</f>
        <v>7.333333333333333</v>
      </c>
      <c r="BK204" s="107">
        <f>288/30</f>
        <v>9.6</v>
      </c>
      <c r="BL204" s="21"/>
    </row>
    <row r="205" spans="1:64" ht="36" customHeight="1" x14ac:dyDescent="0.3">
      <c r="A205" s="15">
        <v>204</v>
      </c>
      <c r="B205" s="16" t="s">
        <v>1017</v>
      </c>
      <c r="C205" s="15"/>
      <c r="D205" s="17">
        <v>2025</v>
      </c>
      <c r="E205" s="21" t="s">
        <v>372</v>
      </c>
      <c r="F205" s="21" t="s">
        <v>238</v>
      </c>
      <c r="G205" s="44" t="s">
        <v>687</v>
      </c>
      <c r="H205" s="48">
        <v>80750000000</v>
      </c>
      <c r="I205" s="53"/>
      <c r="J205" s="53"/>
      <c r="K205" s="21" t="s">
        <v>241</v>
      </c>
      <c r="L205" s="17" t="s">
        <v>129</v>
      </c>
      <c r="M205" s="17" t="s">
        <v>130</v>
      </c>
      <c r="N205" s="17" t="s">
        <v>482</v>
      </c>
      <c r="O205" s="17" t="s">
        <v>42</v>
      </c>
      <c r="P205" s="17" t="s">
        <v>31</v>
      </c>
      <c r="Q205" s="76">
        <v>610720.19999999995</v>
      </c>
      <c r="R205" s="76">
        <v>3625.03</v>
      </c>
      <c r="S205" s="72">
        <v>29755.81</v>
      </c>
      <c r="T205" s="58">
        <v>1</v>
      </c>
      <c r="U205" s="59">
        <v>15</v>
      </c>
      <c r="V205" s="46" t="s">
        <v>16</v>
      </c>
      <c r="W205" s="30" t="s">
        <v>18</v>
      </c>
      <c r="X205" s="17" t="s">
        <v>9</v>
      </c>
      <c r="Y205" s="17" t="s">
        <v>348</v>
      </c>
      <c r="Z205" s="18"/>
      <c r="AA205" s="18"/>
      <c r="AB205" s="21" t="s">
        <v>74</v>
      </c>
      <c r="AC205" s="18" t="s">
        <v>1070</v>
      </c>
      <c r="AD205" s="21" t="s">
        <v>1211</v>
      </c>
      <c r="AE205" s="17" t="s">
        <v>266</v>
      </c>
      <c r="AF205" s="17"/>
      <c r="AG205" s="59"/>
      <c r="AH205" s="17" t="s">
        <v>264</v>
      </c>
      <c r="AI205" s="59"/>
      <c r="AJ205" s="59"/>
      <c r="AK205" s="59"/>
      <c r="AL205" s="92"/>
      <c r="AM205" s="65"/>
      <c r="AN205" s="62"/>
      <c r="AO205" s="65"/>
      <c r="AP205" s="62"/>
      <c r="AQ205" s="62"/>
      <c r="AR205" s="92">
        <f t="shared" si="12"/>
        <v>0</v>
      </c>
      <c r="AS205" s="59"/>
      <c r="AT205" s="59"/>
      <c r="AU205" s="59"/>
      <c r="AV205" s="59"/>
      <c r="AW205" s="59"/>
      <c r="AX205" s="59"/>
      <c r="AY205" s="62"/>
      <c r="AZ205" s="59"/>
      <c r="BA205" s="59"/>
      <c r="BB205" s="62"/>
      <c r="BC205" s="62"/>
      <c r="BD205" s="107">
        <v>28</v>
      </c>
      <c r="BE205" s="102"/>
      <c r="BF205" s="79"/>
      <c r="BG205" s="107">
        <f>176/30</f>
        <v>5.8666666666666663</v>
      </c>
      <c r="BH205" s="79"/>
      <c r="BI205" s="107">
        <f>324/30</f>
        <v>10.8</v>
      </c>
      <c r="BJ205" s="107">
        <f>310/30</f>
        <v>10.333333333333334</v>
      </c>
      <c r="BK205" s="107">
        <f>273/30</f>
        <v>9.1</v>
      </c>
      <c r="BL205" s="21"/>
    </row>
    <row r="206" spans="1:64" ht="36" customHeight="1" x14ac:dyDescent="0.3">
      <c r="A206" s="15">
        <v>205</v>
      </c>
      <c r="B206" s="16" t="s">
        <v>1018</v>
      </c>
      <c r="C206" s="15"/>
      <c r="D206" s="17">
        <v>2025</v>
      </c>
      <c r="E206" s="21" t="s">
        <v>368</v>
      </c>
      <c r="F206" s="21" t="s">
        <v>369</v>
      </c>
      <c r="G206" s="44" t="s">
        <v>687</v>
      </c>
      <c r="H206" s="48">
        <v>90000000000</v>
      </c>
      <c r="I206" s="53"/>
      <c r="J206" s="53"/>
      <c r="K206" s="21" t="s">
        <v>243</v>
      </c>
      <c r="L206" s="17" t="s">
        <v>93</v>
      </c>
      <c r="M206" s="17" t="s">
        <v>101</v>
      </c>
      <c r="N206" s="17" t="s">
        <v>199</v>
      </c>
      <c r="O206" s="17" t="s">
        <v>42</v>
      </c>
      <c r="P206" s="21" t="s">
        <v>57</v>
      </c>
      <c r="Q206" s="76">
        <v>4360</v>
      </c>
      <c r="R206" s="76">
        <v>2375.69</v>
      </c>
      <c r="S206" s="72">
        <v>28406.81</v>
      </c>
      <c r="T206" s="58">
        <v>4</v>
      </c>
      <c r="U206" s="59">
        <v>17</v>
      </c>
      <c r="V206" s="46" t="s">
        <v>18</v>
      </c>
      <c r="W206" s="30" t="s">
        <v>16</v>
      </c>
      <c r="X206" s="17" t="s">
        <v>64</v>
      </c>
      <c r="Y206" s="17" t="s">
        <v>62</v>
      </c>
      <c r="Z206" s="21" t="s">
        <v>1074</v>
      </c>
      <c r="AA206" s="17" t="s">
        <v>41</v>
      </c>
      <c r="AB206" s="21" t="s">
        <v>20</v>
      </c>
      <c r="AC206" s="18"/>
      <c r="AD206" s="17" t="s">
        <v>370</v>
      </c>
      <c r="AE206" s="17" t="s">
        <v>266</v>
      </c>
      <c r="AF206" s="17"/>
      <c r="AG206" s="59"/>
      <c r="AH206" s="17" t="s">
        <v>264</v>
      </c>
      <c r="AI206" s="59"/>
      <c r="AJ206" s="59"/>
      <c r="AK206" s="59"/>
      <c r="AL206" s="92"/>
      <c r="AM206" s="65"/>
      <c r="AN206" s="65"/>
      <c r="AO206" s="65"/>
      <c r="AP206" s="62"/>
      <c r="AQ206" s="62"/>
      <c r="AR206" s="92">
        <f t="shared" si="12"/>
        <v>0</v>
      </c>
      <c r="AS206" s="59"/>
      <c r="AT206" s="59"/>
      <c r="AU206" s="59"/>
      <c r="AV206" s="59"/>
      <c r="AW206" s="59"/>
      <c r="AX206" s="59"/>
      <c r="AY206" s="62"/>
      <c r="AZ206" s="59"/>
      <c r="BA206" s="59"/>
      <c r="BB206" s="62"/>
      <c r="BC206" s="62"/>
      <c r="BD206" s="107">
        <v>34</v>
      </c>
      <c r="BE206" s="102"/>
      <c r="BF206" s="79"/>
      <c r="BG206" s="107">
        <f>424/30</f>
        <v>14.133333333333333</v>
      </c>
      <c r="BH206" s="79"/>
      <c r="BI206" s="107">
        <f>454/30</f>
        <v>15.133333333333333</v>
      </c>
      <c r="BJ206" s="107">
        <f>240/30</f>
        <v>8</v>
      </c>
      <c r="BK206" s="107">
        <f>294/30</f>
        <v>9.8000000000000007</v>
      </c>
      <c r="BL206" s="21" t="s">
        <v>371</v>
      </c>
    </row>
    <row r="207" spans="1:64" ht="36" customHeight="1" x14ac:dyDescent="0.3">
      <c r="A207" s="15">
        <v>206</v>
      </c>
      <c r="B207" s="16" t="s">
        <v>1019</v>
      </c>
      <c r="C207" s="16" t="s">
        <v>1020</v>
      </c>
      <c r="D207" s="15">
        <v>2025</v>
      </c>
      <c r="E207" s="17" t="s">
        <v>561</v>
      </c>
      <c r="F207" s="15" t="s">
        <v>443</v>
      </c>
      <c r="G207" s="19" t="s">
        <v>225</v>
      </c>
      <c r="H207" s="48">
        <v>169530000000</v>
      </c>
      <c r="I207" s="53"/>
      <c r="J207" s="48"/>
      <c r="K207" s="18" t="s">
        <v>241</v>
      </c>
      <c r="L207" s="15" t="s">
        <v>116</v>
      </c>
      <c r="M207" s="15" t="s">
        <v>117</v>
      </c>
      <c r="N207" s="15" t="s">
        <v>90</v>
      </c>
      <c r="O207" s="15" t="s">
        <v>42</v>
      </c>
      <c r="P207" s="18" t="s">
        <v>7</v>
      </c>
      <c r="Q207" s="70">
        <v>99174</v>
      </c>
      <c r="R207" s="70">
        <v>55507.81</v>
      </c>
      <c r="S207" s="81">
        <v>145617</v>
      </c>
      <c r="T207" s="48">
        <v>1</v>
      </c>
      <c r="U207" s="53">
        <v>5</v>
      </c>
      <c r="V207" s="15" t="s">
        <v>16</v>
      </c>
      <c r="W207" s="18" t="s">
        <v>24</v>
      </c>
      <c r="X207" s="18" t="s">
        <v>9</v>
      </c>
      <c r="Y207" s="18" t="s">
        <v>61</v>
      </c>
      <c r="Z207" s="18"/>
      <c r="AA207" s="18"/>
      <c r="AB207" s="18" t="s">
        <v>1073</v>
      </c>
      <c r="AC207" s="18" t="s">
        <v>1062</v>
      </c>
      <c r="AD207" s="18" t="s">
        <v>1082</v>
      </c>
      <c r="AE207" s="18"/>
      <c r="AF207" s="18"/>
      <c r="AG207" s="85"/>
      <c r="AH207" s="18" t="s">
        <v>285</v>
      </c>
      <c r="AI207" s="85"/>
      <c r="AJ207" s="85"/>
      <c r="AK207" s="85"/>
      <c r="AL207" s="92"/>
      <c r="AM207" s="92"/>
      <c r="AN207" s="92"/>
      <c r="AO207" s="92"/>
      <c r="AP207" s="92"/>
      <c r="AQ207" s="92"/>
      <c r="AR207" s="92">
        <f t="shared" si="12"/>
        <v>0</v>
      </c>
      <c r="AS207" s="85"/>
      <c r="AT207" s="85"/>
      <c r="AU207" s="85"/>
      <c r="AV207" s="85"/>
      <c r="AW207" s="85"/>
      <c r="AX207" s="85"/>
      <c r="AY207" s="92"/>
      <c r="AZ207" s="85"/>
      <c r="BA207" s="85"/>
      <c r="BB207" s="92"/>
      <c r="BC207" s="92"/>
      <c r="BD207" s="102">
        <v>28</v>
      </c>
      <c r="BE207" s="102"/>
      <c r="BF207" s="79"/>
      <c r="BG207" s="79">
        <f>347/30</f>
        <v>11.566666666666666</v>
      </c>
      <c r="BH207" s="79">
        <f>357/30</f>
        <v>11.9</v>
      </c>
      <c r="BI207" s="79">
        <f>355/30</f>
        <v>11.833333333333334</v>
      </c>
      <c r="BJ207" s="79">
        <f>288/30</f>
        <v>9.6</v>
      </c>
      <c r="BK207" s="79">
        <f>339/30</f>
        <v>11.3</v>
      </c>
      <c r="BL207" s="15"/>
    </row>
    <row r="208" spans="1:64" ht="36" customHeight="1" x14ac:dyDescent="0.3">
      <c r="A208" s="15">
        <v>207</v>
      </c>
      <c r="B208" s="16" t="s">
        <v>1021</v>
      </c>
      <c r="C208" s="15"/>
      <c r="D208" s="17">
        <v>2025</v>
      </c>
      <c r="E208" s="21" t="s">
        <v>601</v>
      </c>
      <c r="F208" s="21" t="s">
        <v>397</v>
      </c>
      <c r="G208" s="44" t="s">
        <v>687</v>
      </c>
      <c r="H208" s="48">
        <v>85000000000</v>
      </c>
      <c r="I208" s="53"/>
      <c r="J208" s="53"/>
      <c r="K208" s="21" t="s">
        <v>242</v>
      </c>
      <c r="L208" s="17" t="s">
        <v>125</v>
      </c>
      <c r="M208" s="17" t="s">
        <v>367</v>
      </c>
      <c r="N208" s="17" t="s">
        <v>199</v>
      </c>
      <c r="O208" s="17" t="s">
        <v>42</v>
      </c>
      <c r="P208" s="17" t="s">
        <v>619</v>
      </c>
      <c r="Q208" s="72"/>
      <c r="R208" s="72"/>
      <c r="S208" s="72">
        <v>24127.592873460628</v>
      </c>
      <c r="T208" s="58">
        <v>2</v>
      </c>
      <c r="U208" s="59">
        <v>6</v>
      </c>
      <c r="V208" s="15"/>
      <c r="W208" s="30" t="s">
        <v>16</v>
      </c>
      <c r="X208" s="17" t="s">
        <v>9</v>
      </c>
      <c r="Y208" s="18"/>
      <c r="Z208" s="17"/>
      <c r="AA208" s="18"/>
      <c r="AB208" s="17" t="s">
        <v>1196</v>
      </c>
      <c r="AC208" s="17" t="s">
        <v>1063</v>
      </c>
      <c r="AD208" s="17"/>
      <c r="AE208" s="17"/>
      <c r="AF208" s="17"/>
      <c r="AG208" s="59"/>
      <c r="AH208" s="18"/>
      <c r="AI208" s="85"/>
      <c r="AJ208" s="85"/>
      <c r="AK208" s="85"/>
      <c r="AL208" s="92"/>
      <c r="AM208" s="62"/>
      <c r="AN208" s="62"/>
      <c r="AO208" s="62"/>
      <c r="AP208" s="62"/>
      <c r="AQ208" s="62"/>
      <c r="AR208" s="92">
        <f t="shared" si="12"/>
        <v>0</v>
      </c>
      <c r="AS208" s="85"/>
      <c r="AT208" s="85"/>
      <c r="AU208" s="85"/>
      <c r="AV208" s="85"/>
      <c r="AW208" s="85"/>
      <c r="AX208" s="85"/>
      <c r="AY208" s="92"/>
      <c r="AZ208" s="85"/>
      <c r="BA208" s="85"/>
      <c r="BB208" s="92"/>
      <c r="BC208" s="92"/>
      <c r="BD208" s="107">
        <v>33</v>
      </c>
      <c r="BE208" s="107"/>
      <c r="BF208" s="79"/>
      <c r="BG208" s="79">
        <v>7</v>
      </c>
      <c r="BH208" s="79"/>
      <c r="BI208" s="79">
        <f>382/30</f>
        <v>12.733333333333333</v>
      </c>
      <c r="BJ208" s="79">
        <f>322/30</f>
        <v>10.733333333333333</v>
      </c>
      <c r="BK208" s="79">
        <v>16</v>
      </c>
      <c r="BL208" s="21"/>
    </row>
    <row r="209" spans="1:64" ht="36" customHeight="1" x14ac:dyDescent="0.3">
      <c r="A209" s="15">
        <v>208</v>
      </c>
      <c r="B209" s="16" t="s">
        <v>1022</v>
      </c>
      <c r="C209" s="15"/>
      <c r="D209" s="17">
        <v>2025</v>
      </c>
      <c r="E209" s="21" t="s">
        <v>600</v>
      </c>
      <c r="F209" s="21" t="s">
        <v>227</v>
      </c>
      <c r="G209" s="44" t="s">
        <v>687</v>
      </c>
      <c r="H209" s="48">
        <v>99000000000</v>
      </c>
      <c r="I209" s="53"/>
      <c r="J209" s="53"/>
      <c r="K209" s="21" t="s">
        <v>242</v>
      </c>
      <c r="L209" s="17" t="s">
        <v>93</v>
      </c>
      <c r="M209" s="17" t="s">
        <v>102</v>
      </c>
      <c r="N209" s="17" t="s">
        <v>199</v>
      </c>
      <c r="O209" s="17" t="s">
        <v>42</v>
      </c>
      <c r="P209" s="17" t="s">
        <v>4</v>
      </c>
      <c r="Q209" s="72"/>
      <c r="R209" s="72"/>
      <c r="S209" s="72">
        <v>31034.697324973054</v>
      </c>
      <c r="T209" s="58">
        <v>8</v>
      </c>
      <c r="U209" s="59">
        <v>20</v>
      </c>
      <c r="V209" s="15"/>
      <c r="W209" s="30" t="s">
        <v>18</v>
      </c>
      <c r="X209" s="17" t="s">
        <v>64</v>
      </c>
      <c r="Y209" s="18"/>
      <c r="Z209" s="21" t="s">
        <v>1074</v>
      </c>
      <c r="AA209" s="17" t="s">
        <v>41</v>
      </c>
      <c r="AB209" s="18"/>
      <c r="AC209" s="18"/>
      <c r="AD209" s="17"/>
      <c r="AE209" s="17"/>
      <c r="AF209" s="17"/>
      <c r="AG209" s="59"/>
      <c r="AH209" s="18"/>
      <c r="AI209" s="85"/>
      <c r="AJ209" s="85"/>
      <c r="AK209" s="85"/>
      <c r="AL209" s="92"/>
      <c r="AM209" s="62"/>
      <c r="AN209" s="62"/>
      <c r="AO209" s="62"/>
      <c r="AP209" s="62"/>
      <c r="AQ209" s="62"/>
      <c r="AR209" s="92">
        <f t="shared" si="12"/>
        <v>0</v>
      </c>
      <c r="AS209" s="85"/>
      <c r="AT209" s="85"/>
      <c r="AU209" s="85"/>
      <c r="AV209" s="85"/>
      <c r="AW209" s="85"/>
      <c r="AX209" s="85"/>
      <c r="AY209" s="92"/>
      <c r="AZ209" s="85"/>
      <c r="BA209" s="85"/>
      <c r="BB209" s="92"/>
      <c r="BC209" s="92"/>
      <c r="BD209" s="107">
        <v>37</v>
      </c>
      <c r="BE209" s="107"/>
      <c r="BF209" s="79"/>
      <c r="BG209" s="79">
        <f>(126+219)/30</f>
        <v>11.5</v>
      </c>
      <c r="BH209" s="79"/>
      <c r="BI209" s="79">
        <f>(166+18)/30</f>
        <v>6.1333333333333337</v>
      </c>
      <c r="BJ209" s="79">
        <f>402/30</f>
        <v>13.4</v>
      </c>
      <c r="BK209" s="79">
        <f>382/30</f>
        <v>12.733333333333333</v>
      </c>
      <c r="BL209" s="21"/>
    </row>
    <row r="210" spans="1:64" ht="36" customHeight="1" x14ac:dyDescent="0.3">
      <c r="A210" s="15">
        <v>209</v>
      </c>
      <c r="B210" s="16" t="s">
        <v>1023</v>
      </c>
      <c r="C210" s="16" t="s">
        <v>1024</v>
      </c>
      <c r="D210" s="15">
        <v>2025</v>
      </c>
      <c r="E210" s="17" t="s">
        <v>646</v>
      </c>
      <c r="F210" s="15" t="s">
        <v>562</v>
      </c>
      <c r="G210" s="19" t="s">
        <v>225</v>
      </c>
      <c r="H210" s="48">
        <v>174300000000</v>
      </c>
      <c r="I210" s="53"/>
      <c r="J210" s="48"/>
      <c r="K210" s="18" t="s">
        <v>241</v>
      </c>
      <c r="L210" s="15" t="s">
        <v>187</v>
      </c>
      <c r="M210" s="15" t="s">
        <v>188</v>
      </c>
      <c r="N210" s="15" t="s">
        <v>90</v>
      </c>
      <c r="O210" s="15" t="s">
        <v>42</v>
      </c>
      <c r="P210" s="18" t="s">
        <v>7</v>
      </c>
      <c r="Q210" s="70">
        <v>46690</v>
      </c>
      <c r="R210" s="70">
        <v>32568.33</v>
      </c>
      <c r="S210" s="81">
        <v>166695</v>
      </c>
      <c r="T210" s="48">
        <v>1</v>
      </c>
      <c r="U210" s="53">
        <v>10</v>
      </c>
      <c r="V210" s="15" t="s">
        <v>16</v>
      </c>
      <c r="W210" s="18" t="s">
        <v>24</v>
      </c>
      <c r="X210" s="18" t="s">
        <v>9</v>
      </c>
      <c r="Y210" s="18" t="s">
        <v>61</v>
      </c>
      <c r="Z210" s="18"/>
      <c r="AA210" s="18"/>
      <c r="AB210" s="18" t="s">
        <v>1196</v>
      </c>
      <c r="AC210" s="18"/>
      <c r="AD210" s="18" t="s">
        <v>1082</v>
      </c>
      <c r="AE210" s="18"/>
      <c r="AF210" s="18"/>
      <c r="AG210" s="85"/>
      <c r="AH210" s="18" t="s">
        <v>264</v>
      </c>
      <c r="AI210" s="85"/>
      <c r="AJ210" s="85"/>
      <c r="AK210" s="85"/>
      <c r="AL210" s="92"/>
      <c r="AM210" s="92"/>
      <c r="AN210" s="92"/>
      <c r="AO210" s="92"/>
      <c r="AP210" s="92"/>
      <c r="AQ210" s="92"/>
      <c r="AR210" s="92">
        <f t="shared" si="12"/>
        <v>0</v>
      </c>
      <c r="AS210" s="85"/>
      <c r="AT210" s="85"/>
      <c r="AU210" s="85"/>
      <c r="AV210" s="85"/>
      <c r="AW210" s="85"/>
      <c r="AX210" s="85"/>
      <c r="AY210" s="92"/>
      <c r="AZ210" s="85"/>
      <c r="BA210" s="85"/>
      <c r="BB210" s="92"/>
      <c r="BC210" s="92"/>
      <c r="BD210" s="102">
        <v>24</v>
      </c>
      <c r="BE210" s="102"/>
      <c r="BF210" s="79"/>
      <c r="BG210" s="79">
        <f>180/30</f>
        <v>6</v>
      </c>
      <c r="BH210" s="79">
        <f>414/30</f>
        <v>13.8</v>
      </c>
      <c r="BI210" s="79">
        <f>237/30</f>
        <v>7.9</v>
      </c>
      <c r="BJ210" s="79">
        <f>230/30</f>
        <v>7.666666666666667</v>
      </c>
      <c r="BK210" s="79">
        <f>285/30</f>
        <v>9.5</v>
      </c>
      <c r="BL210" s="15" t="s">
        <v>44</v>
      </c>
    </row>
    <row r="211" spans="1:64" ht="36" customHeight="1" x14ac:dyDescent="0.3">
      <c r="A211" s="15">
        <v>210</v>
      </c>
      <c r="B211" s="16" t="s">
        <v>1025</v>
      </c>
      <c r="C211" s="15"/>
      <c r="D211" s="17">
        <v>2025</v>
      </c>
      <c r="E211" s="21" t="s">
        <v>365</v>
      </c>
      <c r="F211" s="21" t="s">
        <v>364</v>
      </c>
      <c r="G211" s="44" t="s">
        <v>687</v>
      </c>
      <c r="H211" s="48">
        <v>30000000000</v>
      </c>
      <c r="I211" s="53"/>
      <c r="J211" s="53"/>
      <c r="K211" s="21" t="s">
        <v>241</v>
      </c>
      <c r="L211" s="17" t="s">
        <v>197</v>
      </c>
      <c r="M211" s="17" t="s">
        <v>366</v>
      </c>
      <c r="N211" s="17" t="s">
        <v>199</v>
      </c>
      <c r="O211" s="17" t="s">
        <v>42</v>
      </c>
      <c r="P211" s="17" t="s">
        <v>6</v>
      </c>
      <c r="Q211" s="76">
        <v>65026</v>
      </c>
      <c r="R211" s="76">
        <v>3772.06</v>
      </c>
      <c r="S211" s="76">
        <v>8490</v>
      </c>
      <c r="T211" s="58">
        <v>1</v>
      </c>
      <c r="U211" s="59">
        <v>4</v>
      </c>
      <c r="V211" s="46" t="s">
        <v>16</v>
      </c>
      <c r="W211" s="30" t="s">
        <v>18</v>
      </c>
      <c r="X211" s="17" t="s">
        <v>9</v>
      </c>
      <c r="Y211" s="17" t="s">
        <v>61</v>
      </c>
      <c r="Z211" s="17"/>
      <c r="AA211" s="18"/>
      <c r="AB211" s="21" t="s">
        <v>1196</v>
      </c>
      <c r="AC211" s="21" t="s">
        <v>1063</v>
      </c>
      <c r="AD211" s="21" t="s">
        <v>1100</v>
      </c>
      <c r="AE211" s="21" t="s">
        <v>265</v>
      </c>
      <c r="AF211" s="21"/>
      <c r="AG211" s="66"/>
      <c r="AH211" s="17" t="s">
        <v>285</v>
      </c>
      <c r="AI211" s="59"/>
      <c r="AJ211" s="59"/>
      <c r="AK211" s="59"/>
      <c r="AL211" s="92"/>
      <c r="AM211" s="65"/>
      <c r="AN211" s="65"/>
      <c r="AO211" s="65"/>
      <c r="AP211" s="62"/>
      <c r="AQ211" s="62"/>
      <c r="AR211" s="92">
        <f t="shared" si="12"/>
        <v>0</v>
      </c>
      <c r="AS211" s="59"/>
      <c r="AT211" s="59"/>
      <c r="AU211" s="59"/>
      <c r="AV211" s="59"/>
      <c r="AW211" s="59"/>
      <c r="AX211" s="59"/>
      <c r="AY211" s="62"/>
      <c r="AZ211" s="59"/>
      <c r="BA211" s="59"/>
      <c r="BB211" s="62"/>
      <c r="BC211" s="62"/>
      <c r="BD211" s="107">
        <v>19.5</v>
      </c>
      <c r="BE211" s="102"/>
      <c r="BF211" s="79"/>
      <c r="BG211" s="107">
        <f>114/30</f>
        <v>3.8</v>
      </c>
      <c r="BH211" s="79"/>
      <c r="BI211" s="107">
        <f>307/30</f>
        <v>10.233333333333333</v>
      </c>
      <c r="BJ211" s="107">
        <f>151/30</f>
        <v>5.0333333333333332</v>
      </c>
      <c r="BK211" s="107">
        <f>172/30</f>
        <v>5.7333333333333334</v>
      </c>
      <c r="BL211" s="21" t="s">
        <v>44</v>
      </c>
    </row>
    <row r="212" spans="1:64" ht="36" customHeight="1" x14ac:dyDescent="0.3">
      <c r="A212" s="15">
        <v>211</v>
      </c>
      <c r="B212" s="16" t="s">
        <v>1026</v>
      </c>
      <c r="C212" s="15"/>
      <c r="D212" s="17">
        <v>2026</v>
      </c>
      <c r="E212" s="21" t="s">
        <v>422</v>
      </c>
      <c r="F212" s="21" t="s">
        <v>423</v>
      </c>
      <c r="G212" s="44" t="s">
        <v>687</v>
      </c>
      <c r="H212" s="48">
        <v>75000000000</v>
      </c>
      <c r="I212" s="53"/>
      <c r="J212" s="53"/>
      <c r="K212" s="17" t="s">
        <v>243</v>
      </c>
      <c r="L212" s="17" t="s">
        <v>93</v>
      </c>
      <c r="M212" s="17" t="s">
        <v>94</v>
      </c>
      <c r="N212" s="17" t="s">
        <v>199</v>
      </c>
      <c r="O212" s="17" t="s">
        <v>42</v>
      </c>
      <c r="P212" s="17" t="s">
        <v>4</v>
      </c>
      <c r="Q212" s="76">
        <v>2809</v>
      </c>
      <c r="R212" s="76">
        <v>1677.6</v>
      </c>
      <c r="S212" s="76">
        <v>24923.37</v>
      </c>
      <c r="T212" s="58">
        <v>7</v>
      </c>
      <c r="U212" s="59">
        <v>17</v>
      </c>
      <c r="V212" s="46" t="s">
        <v>18</v>
      </c>
      <c r="W212" s="30" t="s">
        <v>16</v>
      </c>
      <c r="X212" s="17" t="s">
        <v>64</v>
      </c>
      <c r="Y212" s="17" t="s">
        <v>62</v>
      </c>
      <c r="Z212" s="21" t="s">
        <v>1074</v>
      </c>
      <c r="AA212" s="17" t="s">
        <v>41</v>
      </c>
      <c r="AB212" s="21" t="s">
        <v>1199</v>
      </c>
      <c r="AC212" s="18"/>
      <c r="AD212" s="18" t="s">
        <v>265</v>
      </c>
      <c r="AE212" s="21"/>
      <c r="AF212" s="21"/>
      <c r="AG212" s="66"/>
      <c r="AH212" s="17" t="s">
        <v>264</v>
      </c>
      <c r="AI212" s="59"/>
      <c r="AJ212" s="59"/>
      <c r="AK212" s="59"/>
      <c r="AL212" s="92"/>
      <c r="AM212" s="65"/>
      <c r="AN212" s="65"/>
      <c r="AO212" s="65"/>
      <c r="AP212" s="65"/>
      <c r="AQ212" s="62"/>
      <c r="AR212" s="92">
        <f t="shared" si="12"/>
        <v>0</v>
      </c>
      <c r="AS212" s="59"/>
      <c r="AT212" s="59"/>
      <c r="AU212" s="59"/>
      <c r="AV212" s="59"/>
      <c r="AW212" s="59"/>
      <c r="AX212" s="59"/>
      <c r="AY212" s="62"/>
      <c r="AZ212" s="59"/>
      <c r="BA212" s="59"/>
      <c r="BB212" s="62"/>
      <c r="BC212" s="62"/>
      <c r="BD212" s="107">
        <v>37</v>
      </c>
      <c r="BE212" s="102"/>
      <c r="BF212" s="79"/>
      <c r="BG212" s="107">
        <f>432/30</f>
        <v>14.4</v>
      </c>
      <c r="BH212" s="79"/>
      <c r="BI212" s="107">
        <f>581/30</f>
        <v>19.366666666666667</v>
      </c>
      <c r="BJ212" s="107">
        <f>180/30</f>
        <v>6</v>
      </c>
      <c r="BK212" s="107">
        <f>245/30</f>
        <v>8.1666666666666661</v>
      </c>
      <c r="BL212" s="21"/>
    </row>
  </sheetData>
  <autoFilter ref="A2:BL212" xr:uid="{00000000-0009-0000-0000-000000000000}">
    <sortState xmlns:xlrd2="http://schemas.microsoft.com/office/spreadsheetml/2017/richdata2" ref="A3:BL212">
      <sortCondition ref="A2:A212"/>
    </sortState>
  </autoFilter>
  <phoneticPr fontId="2" type="noConversion"/>
  <pageMargins left="0.7" right="0.7" top="0.75" bottom="0.75" header="0.3" footer="0.3"/>
  <pageSetup paperSize="8" scale="3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 프로젝트</vt:lpstr>
      <vt:lpstr>'전체 프로젝트'!Print_Area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조명희님</cp:lastModifiedBy>
  <cp:lastPrinted>2025-09-15T06:35:47Z</cp:lastPrinted>
  <dcterms:created xsi:type="dcterms:W3CDTF">2023-09-08T02:04:10Z</dcterms:created>
  <dcterms:modified xsi:type="dcterms:W3CDTF">2026-03-10T05:15:00Z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MTksICJub2RlMSIgOiB7ImRzZCI6IjAxMDAwMDAwMDAwMDIxMDMiLCJsb2dUaW1lIjoiMjAyNi0wMS0xMVQyMjo1OToxNVoiLCJwSUQiOjEsInByb2Nlc3NJZCI6MTgxMjQsInByb2Nlc3NOYW1lIjoiRVhDRUwuRVhFIiwidHJhY2VJZCI6IjBGMjlFODY5NTlGNTRBODFCNjFBMkY5NTlFMkRFQjY5IiwidXNlckNvZGUiOiJtaDEyMTUifSwibm9kZTIiIDogeyJkc2QiOiIwMTAwMDAwMDAwMDAyMTAzIiwibG9nVGltZSI6IjIwMjYtMDEtMTNUMDc6NDY6MTFaIiwicElEIjoxLCJwcm9jZXNzSWQiOjE4MTI0LCJwcm9jZXNzTmFtZSI6IkVYQ0VMLkVYRSIsInRyYWNlSWQiOiIwQTY4MjkwQzM2QUQ0RTJFQjIxMjAyNjgyMjlEMEM1RCIsInVzZXJDb2RlIjoic3RhbmRhcmRoaCJ9LCJub2RlMyIgOiB7ImRzZCI6IjAxMDAwMDAwMDAwMDIxMDMiLCJsb2dUaW1lIjoiMjAyNi0wMy0wNVQwMjoyNzo0M1oiLCJwSUQiOjEsInByb2Nlc3NJZCI6MTgxMjQsInByb2Nlc3NOYW1lIjoiRVhDRUwuRVhFIiwidHJhY2VJZCI6IjYxMDQzOTk0RUFFNTQyRkFBQzVGRkU4MkE1OEU4NDc0IiwidXNlckNvZGUiOiJzdGFuZGFyZGhoIn0sIm5vZGU0IiA6IHsiZHNkIjoiMDEwMDAwMDAwMDAwMjEwMyIsImxvZ1RpbWUiOiIyMDI2LTAzLTEwVDA1OjE0OjU5WiIsInBJRCI6MSwicHJvY2Vzc0lkIjo3OTE4MCwicHJvY2Vzc05hbWUiOiJFWENFTC5FWEUiLCJ0cmFjZUlkIjoiOTRDMDZFRUU1NDRENDg2M0IzMTM0MzMxOEJBNkE3Q0IiLCJ1c2VyQ29kZSI6Im1oMTIxNSJ9LCJub2RlNSIgOiB7ICJ1c2VyQ29kZSIgOiAiY2p5NDkwIiwgInRyYWNlSWQiIDogIkM3OTQ1OUVFODk1Mjc2QjY4RDU1RTBGMzFERjgxRTdCIiwgImRzZCIgOiAiMDAwMDAwMDAwMDAwMDAwMCIsICJwSUQiIDogIjIwNDgiLCAibG9nVGltZSIgOiAiMjAyNi0wMy0xOVQwNTowMzoxN1oiIH19</vt:lpwstr>
  </property>
</Properties>
</file>